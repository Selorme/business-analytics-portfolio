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th Selorme\Desktop\Masters Degree - EMJM AISS\Jobs, internships, fellowships applications\Fellowhips\Nokia\Portfolio\Finance tracker\"/>
    </mc:Choice>
  </mc:AlternateContent>
  <xr:revisionPtr revIDLastSave="0" documentId="13_ncr:1_{630FF4DB-D38F-42FA-AF42-8DE6F84929FC}" xr6:coauthVersionLast="47" xr6:coauthVersionMax="47" xr10:uidLastSave="{00000000-0000-0000-0000-000000000000}"/>
  <bookViews>
    <workbookView xWindow="-110" yWindow="-110" windowWidth="22620" windowHeight="14220" activeTab="5" xr2:uid="{00000000-000D-0000-FFFF-FFFF00000000}"/>
  </bookViews>
  <sheets>
    <sheet name="Read me" sheetId="1" r:id="rId1"/>
    <sheet name="Dashboard" sheetId="2" r:id="rId2"/>
    <sheet name="Lists" sheetId="3" r:id="rId3"/>
    <sheet name="Settings" sheetId="4" r:id="rId4"/>
    <sheet name="January 2026" sheetId="5" r:id="rId5"/>
    <sheet name="February 2026" sheetId="6" r:id="rId6"/>
  </sheets>
  <definedNames>
    <definedName name="AccountList">Lists!$D$2:$D$6</definedName>
    <definedName name="CategoryList">Lists!$B$2:$B$19</definedName>
    <definedName name="Feb2026_Cash_End">'February 2026'!$N$20</definedName>
    <definedName name="Feb2026_Emergency_End">'February 2026'!$N$18</definedName>
    <definedName name="Feb2026_Investment_End">'February 2026'!$N$19</definedName>
    <definedName name="Feb2026_Main_End">'February 2026'!$N$16</definedName>
    <definedName name="Feb2026_Savings_End">'February 2026'!$N$17</definedName>
    <definedName name="Feb2026_Total_End">'February 2026'!$N$22</definedName>
    <definedName name="FX_Rate">Settings!$B$5</definedName>
    <definedName name="GBP_Rate">Settings!$B$7</definedName>
    <definedName name="Jan2026_Cash_End">'January 2026'!$N$20</definedName>
    <definedName name="Jan2026_Emergency_End">'January 2026'!$N$18</definedName>
    <definedName name="Jan2026_Investment_End">'January 2026'!$N$19</definedName>
    <definedName name="Jan2026_Main_End">'January 2026'!$N$16</definedName>
    <definedName name="Jan2026_Savings_End">'January 2026'!$N$17</definedName>
    <definedName name="Jan2026_Total_End">'January 2026'!$N$22</definedName>
    <definedName name="MonthList">Lists!$E$2:$E$3</definedName>
    <definedName name="_xlnm.Print_Area" localSheetId="5">'February 2026'!$A$1:$O$70</definedName>
    <definedName name="_xlnm.Print_Area" localSheetId="4">'January 2026'!$A$1:$O$70</definedName>
    <definedName name="StatusList">Lists!$A$2:$A$3</definedName>
    <definedName name="TypeList">Lists!$C$2:$C$6</definedName>
    <definedName name="USD_Rate">Settings!$B$6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0" i="6" l="1"/>
  <c r="E42" i="6"/>
  <c r="N19" i="6" s="1"/>
  <c r="I28" i="6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F20" i="6"/>
  <c r="J19" i="6"/>
  <c r="K19" i="6" s="1"/>
  <c r="F19" i="6"/>
  <c r="J18" i="6"/>
  <c r="K18" i="6" s="1"/>
  <c r="F18" i="6"/>
  <c r="J17" i="6"/>
  <c r="K17" i="6" s="1"/>
  <c r="F17" i="6"/>
  <c r="J16" i="6"/>
  <c r="F16" i="6"/>
  <c r="F28" i="6" s="1"/>
  <c r="M50" i="5"/>
  <c r="I28" i="5"/>
  <c r="J25" i="5"/>
  <c r="K25" i="5" s="1"/>
  <c r="J24" i="5"/>
  <c r="K24" i="5" s="1"/>
  <c r="J23" i="5"/>
  <c r="K23" i="5" s="1"/>
  <c r="J22" i="5"/>
  <c r="K22" i="5" s="1"/>
  <c r="J21" i="5"/>
  <c r="K21" i="5" s="1"/>
  <c r="N20" i="5"/>
  <c r="E43" i="6" s="1"/>
  <c r="N20" i="6" s="1"/>
  <c r="J20" i="5"/>
  <c r="K20" i="5" s="1"/>
  <c r="F20" i="5"/>
  <c r="N19" i="5"/>
  <c r="J19" i="5"/>
  <c r="K19" i="5" s="1"/>
  <c r="F19" i="5"/>
  <c r="N18" i="5"/>
  <c r="E41" i="6" s="1"/>
  <c r="N18" i="6" s="1"/>
  <c r="J18" i="5"/>
  <c r="K18" i="5" s="1"/>
  <c r="F18" i="5"/>
  <c r="N17" i="5"/>
  <c r="J17" i="5"/>
  <c r="K17" i="5" s="1"/>
  <c r="F17" i="5"/>
  <c r="N16" i="5"/>
  <c r="J16" i="5"/>
  <c r="F16" i="5"/>
  <c r="F28" i="5" s="1"/>
  <c r="D19" i="2"/>
  <c r="C19" i="2"/>
  <c r="D18" i="2"/>
  <c r="C18" i="2"/>
  <c r="D17" i="2"/>
  <c r="C17" i="2"/>
  <c r="D16" i="2"/>
  <c r="C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G6" i="2"/>
  <c r="H12" i="2" s="1"/>
  <c r="K16" i="6" l="1"/>
  <c r="K28" i="6" s="1"/>
  <c r="J28" i="6"/>
  <c r="Y5" i="6"/>
  <c r="E3" i="6"/>
  <c r="A6" i="2" s="1"/>
  <c r="M3" i="6"/>
  <c r="E6" i="2" s="1"/>
  <c r="F27" i="6"/>
  <c r="E40" i="6"/>
  <c r="N17" i="6" s="1"/>
  <c r="M11" i="5"/>
  <c r="M7" i="5"/>
  <c r="Y7" i="5" s="1"/>
  <c r="Y4" i="5"/>
  <c r="N22" i="5"/>
  <c r="E39" i="6"/>
  <c r="N16" i="6" s="1"/>
  <c r="N22" i="6" s="1"/>
  <c r="K16" i="5"/>
  <c r="K28" i="5" s="1"/>
  <c r="J28" i="5"/>
  <c r="F27" i="5"/>
  <c r="E3" i="5"/>
  <c r="M3" i="5"/>
  <c r="Y5" i="5"/>
  <c r="Y6" i="6" l="1"/>
  <c r="H3" i="6"/>
  <c r="C6" i="2" s="1"/>
  <c r="M11" i="6"/>
  <c r="M7" i="6"/>
  <c r="Y7" i="6" s="1"/>
  <c r="Y4" i="6"/>
  <c r="B33" i="5"/>
  <c r="C33" i="5"/>
  <c r="D33" i="5"/>
  <c r="E33" i="5"/>
  <c r="B33" i="6"/>
  <c r="C33" i="6"/>
  <c r="D33" i="6"/>
  <c r="E33" i="6"/>
  <c r="I6" i="2"/>
  <c r="H3" i="5"/>
  <c r="Y6" i="5"/>
  <c r="H13" i="2" l="1"/>
  <c r="H11" i="2"/>
</calcChain>
</file>

<file path=xl/sharedStrings.xml><?xml version="1.0" encoding="utf-8"?>
<sst xmlns="http://schemas.openxmlformats.org/spreadsheetml/2006/main" count="673" uniqueCount="138">
  <si>
    <t>Personal Finance Tracker (template with dummy data)</t>
  </si>
  <si>
    <t>All names, amounts and transactions are invented. Blue text = input you can change.</t>
  </si>
  <si>
    <t>How it works</t>
  </si>
  <si>
    <t>1. Add transactions in the table at the bottom of each month sheet (row 39 onward).</t>
  </si>
  <si>
    <t>2. Dropdowns for Status, Category, Type and Account come from the Lists sheet (named ranges).</t>
  </si>
  <si>
    <t>3. Income, Budget vs Used and the account balances recalculate with SUMIFS. Pending items are ignored until marked Completed. Opening balances are transactions of type Opening balance.</t>
  </si>
  <si>
    <t>4. Each month closes with named ranges (for example Jan2026_Main_End). The next month opening-balance rows read them.</t>
  </si>
  <si>
    <t>5. Conditional formatting flags over-budget categories (Left to spend turns dark red) and colours Status and Type like chips. Reminders use a tick-box dropdown.</t>
  </si>
  <si>
    <t>6. Settings holds a manual EUR to local-currency rate. In Google Sheets, replace it with GOOGLEFINANCE("CURRENCY:EURTRY").</t>
  </si>
  <si>
    <t>To add a month: copy a month sheet, rename it, and point Opening balances at the previous month names.</t>
  </si>
  <si>
    <t>Dashboard</t>
  </si>
  <si>
    <t>Select month</t>
  </si>
  <si>
    <t>February 2026</t>
  </si>
  <si>
    <t>Income</t>
  </si>
  <si>
    <t>Expenses (incl. saved)</t>
  </si>
  <si>
    <t>To budget</t>
  </si>
  <si>
    <t>Saved and invested</t>
  </si>
  <si>
    <t>Total balance</t>
  </si>
  <si>
    <t>Income by source</t>
  </si>
  <si>
    <t>Spending by category</t>
  </si>
  <si>
    <t>Where income went</t>
  </si>
  <si>
    <t>Source</t>
  </si>
  <si>
    <t>Amount</t>
  </si>
  <si>
    <t>Category</t>
  </si>
  <si>
    <t>Used</t>
  </si>
  <si>
    <t>Part</t>
  </si>
  <si>
    <t>Expenses</t>
  </si>
  <si>
    <t>Left over</t>
  </si>
  <si>
    <t>Status</t>
  </si>
  <si>
    <t>Type</t>
  </si>
  <si>
    <t>Account</t>
  </si>
  <si>
    <t>Months</t>
  </si>
  <si>
    <t>Completed</t>
  </si>
  <si>
    <t>Housing</t>
  </si>
  <si>
    <t>Main account</t>
  </si>
  <si>
    <t>January 2026</t>
  </si>
  <si>
    <t>Pending</t>
  </si>
  <si>
    <t>Groceries</t>
  </si>
  <si>
    <t>Expense</t>
  </si>
  <si>
    <t>Savings</t>
  </si>
  <si>
    <t>Eating out</t>
  </si>
  <si>
    <t>Transfer In</t>
  </si>
  <si>
    <t>Emergency fund</t>
  </si>
  <si>
    <t>Travel</t>
  </si>
  <si>
    <t>Transfer Out</t>
  </si>
  <si>
    <t>Investment</t>
  </si>
  <si>
    <t>Subscriptions</t>
  </si>
  <si>
    <t>Opening balance</t>
  </si>
  <si>
    <t>Cash</t>
  </si>
  <si>
    <t>Electronics</t>
  </si>
  <si>
    <t>Gym</t>
  </si>
  <si>
    <t>Miscellaneous</t>
  </si>
  <si>
    <t>Family</t>
  </si>
  <si>
    <t>Salary</t>
  </si>
  <si>
    <t>Freelance</t>
  </si>
  <si>
    <t>Teaching</t>
  </si>
  <si>
    <t>Stipend</t>
  </si>
  <si>
    <t>Savings transfer</t>
  </si>
  <si>
    <t>Investment transfer</t>
  </si>
  <si>
    <t>Cash withdrawal</t>
  </si>
  <si>
    <t>Cash income</t>
  </si>
  <si>
    <t>Settings</t>
  </si>
  <si>
    <t>Base currency</t>
  </si>
  <si>
    <t>EUR</t>
  </si>
  <si>
    <t>Local currency</t>
  </si>
  <si>
    <t>TRY</t>
  </si>
  <si>
    <t>Rate: 1 EUR in local currency (manual)</t>
  </si>
  <si>
    <t>Rate: 1 EUR in USD (manual)</t>
  </si>
  <si>
    <t>Rate: 1 EUR in GBP (manual)</t>
  </si>
  <si>
    <t>Overview data</t>
  </si>
  <si>
    <t>Savings account</t>
  </si>
  <si>
    <t>Overview</t>
  </si>
  <si>
    <t>SEI (Savings, Emergency, Investment)</t>
  </si>
  <si>
    <t>SEI</t>
  </si>
  <si>
    <t>Reminders</t>
  </si>
  <si>
    <t>Budget</t>
  </si>
  <si>
    <t>Left to spend</t>
  </si>
  <si>
    <t>End of month</t>
  </si>
  <si>
    <t>☐</t>
  </si>
  <si>
    <t>Buy groceries</t>
  </si>
  <si>
    <t>Do the laundry</t>
  </si>
  <si>
    <t>Pay phone plan</t>
  </si>
  <si>
    <t>Savings and investments</t>
  </si>
  <si>
    <t>Unbudgeted income</t>
  </si>
  <si>
    <t>Total</t>
  </si>
  <si>
    <t>Date</t>
  </si>
  <si>
    <t>Description</t>
  </si>
  <si>
    <t>Notes</t>
  </si>
  <si>
    <t>I'm owed...</t>
  </si>
  <si>
    <t>Opening balance Main account</t>
  </si>
  <si>
    <t>Who</t>
  </si>
  <si>
    <t>For</t>
  </si>
  <si>
    <t>Foreign amount</t>
  </si>
  <si>
    <t>Amount (EUR)</t>
  </si>
  <si>
    <t>Paid back?</t>
  </si>
  <si>
    <t>Opening balance Savings</t>
  </si>
  <si>
    <t>Friend A</t>
  </si>
  <si>
    <t>Concert tickets</t>
  </si>
  <si>
    <t>No</t>
  </si>
  <si>
    <t>Opening balance Emergency fund</t>
  </si>
  <si>
    <t>Friend B</t>
  </si>
  <si>
    <t>Shared taxi</t>
  </si>
  <si>
    <t>Yes</t>
  </si>
  <si>
    <t>Opening balance Investment</t>
  </si>
  <si>
    <t>Team C</t>
  </si>
  <si>
    <t>Team dinner</t>
  </si>
  <si>
    <t>Opening balance Cash</t>
  </si>
  <si>
    <t>Coach D</t>
  </si>
  <si>
    <t>Session fee</t>
  </si>
  <si>
    <t>¥200</t>
  </si>
  <si>
    <t>Rent</t>
  </si>
  <si>
    <t>Monthly</t>
  </si>
  <si>
    <t>Monthly transport pass</t>
  </si>
  <si>
    <t>Supermarket</t>
  </si>
  <si>
    <t>Streaming service</t>
  </si>
  <si>
    <t>Cloud storage</t>
  </si>
  <si>
    <t>Study stipend</t>
  </si>
  <si>
    <t>Gym membership</t>
  </si>
  <si>
    <t>Still owed</t>
  </si>
  <si>
    <t>Lunch</t>
  </si>
  <si>
    <t>Part-time job pay</t>
  </si>
  <si>
    <t>Phone plan</t>
  </si>
  <si>
    <t>Support for family</t>
  </si>
  <si>
    <t>Cash market</t>
  </si>
  <si>
    <t>Dinner with friends</t>
  </si>
  <si>
    <t>Website project (client A)</t>
  </si>
  <si>
    <t>Invoice 001</t>
  </si>
  <si>
    <t>Household items</t>
  </si>
  <si>
    <t>Tutoring sessions</t>
  </si>
  <si>
    <t>Headphones</t>
  </si>
  <si>
    <t>Monthly savings</t>
  </si>
  <si>
    <t>Emergency fund top-up</t>
  </si>
  <si>
    <t>Index fund purchase</t>
  </si>
  <si>
    <t>Coffee and snack</t>
  </si>
  <si>
    <t>Train ticket</t>
  </si>
  <si>
    <t>Gift</t>
  </si>
  <si>
    <t>Concert ticket (not yet paid)</t>
  </si>
  <si>
    <t>Pending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</si>
</sst>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€]#,##0.00"/>
    <numFmt numFmtId="165" formatCode="[$€]#,##0.00;[Red]\-[$€]#,##0.00"/>
    <numFmt numFmtId="166" formatCode="\$#,##0.00"/>
    <numFmt numFmtId="167" formatCode="[$£]#,##0.00"/>
    <numFmt numFmtId="168" formatCode="&quot;TRY &quot;#,##0.00"/>
    <numFmt numFmtId="169" formatCode="dd\ mmm\ yyyy"/>
  </numFmts>
  <fonts count="24" x14ac:knownFonts="1">
    <font>
      <sz val="11"/>
      <color theme="1"/>
      <name val="Calibri"/>
      <family val="2"/>
      <charset val="1"/>
    </font>
    <font>
      <b/>
      <sz val="14"/>
      <color rgb="FF0F2A47"/>
      <name val="Cambria"/>
      <charset val="1"/>
    </font>
    <font>
      <sz val="11"/>
      <color rgb="FF222222"/>
      <name val="Cambria"/>
      <charset val="1"/>
    </font>
    <font>
      <b/>
      <sz val="11"/>
      <color rgb="FF0F2A47"/>
      <name val="Cambria"/>
      <charset val="1"/>
    </font>
    <font>
      <b/>
      <sz val="18"/>
      <color rgb="FFFFFFFF"/>
      <name val="Cambria"/>
      <charset val="1"/>
    </font>
    <font>
      <b/>
      <sz val="11"/>
      <color rgb="FF0000FF"/>
      <name val="Cambria"/>
      <charset val="1"/>
    </font>
    <font>
      <sz val="9"/>
      <color rgb="FF5B6B7A"/>
      <name val="Cambria"/>
      <charset val="1"/>
    </font>
    <font>
      <b/>
      <sz val="16"/>
      <color rgb="FF1F7A8C"/>
      <name val="Cambria"/>
      <charset val="1"/>
    </font>
    <font>
      <b/>
      <sz val="12"/>
      <color rgb="FF0F2A47"/>
      <name val="Cambria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b/>
      <sz val="18"/>
      <color rgb="FF222222"/>
      <name val="Courier New"/>
      <charset val="1"/>
    </font>
    <font>
      <b/>
      <sz val="16"/>
      <color rgb="FF222222"/>
      <name val="Courier New"/>
      <charset val="1"/>
    </font>
    <font>
      <sz val="14"/>
      <color rgb="FF222222"/>
      <name val="Courier New"/>
      <charset val="1"/>
    </font>
    <font>
      <sz val="16"/>
      <color rgb="FF222222"/>
      <name val="Courier New"/>
      <charset val="1"/>
    </font>
    <font>
      <b/>
      <sz val="11"/>
      <color rgb="FF7A8794"/>
      <name val="Cambria"/>
      <charset val="1"/>
    </font>
    <font>
      <sz val="12"/>
      <color rgb="FF555555"/>
      <name val="Cambria"/>
      <charset val="1"/>
    </font>
    <font>
      <sz val="12"/>
      <color rgb="FF222222"/>
      <name val="Courier New"/>
      <charset val="1"/>
    </font>
    <font>
      <sz val="10"/>
      <color rgb="FFFFFFFF"/>
      <name val="Courier New"/>
      <charset val="1"/>
    </font>
    <font>
      <sz val="14"/>
      <color rgb="FFFFFFFF"/>
      <name val="Courier New"/>
      <charset val="1"/>
    </font>
    <font>
      <sz val="12"/>
      <color rgb="FFFFFFFF"/>
      <name val="Courier New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name val="Cambria"/>
      <charset val="1"/>
    </font>
  </fonts>
  <fills count="16">
    <fill>
      <patternFill patternType="none"/>
    </fill>
    <fill>
      <patternFill patternType="gray125"/>
    </fill>
    <fill>
      <patternFill patternType="solid">
        <fgColor rgb="FF0F2A47"/>
        <bgColor rgb="FF222222"/>
      </patternFill>
    </fill>
    <fill>
      <patternFill patternType="solid">
        <fgColor rgb="FFFFF7D6"/>
        <bgColor rgb="FFFFFFFF"/>
      </patternFill>
    </fill>
    <fill>
      <patternFill patternType="solid">
        <fgColor rgb="FF9FC5E8"/>
        <bgColor rgb="FFA4C2F4"/>
      </patternFill>
    </fill>
    <fill>
      <patternFill patternType="solid">
        <fgColor rgb="FF93C47D"/>
        <bgColor rgb="FF9BBB59"/>
      </patternFill>
    </fill>
    <fill>
      <patternFill patternType="solid">
        <fgColor rgb="FFDD7E6B"/>
        <bgColor rgb="FFDC853E"/>
      </patternFill>
    </fill>
    <fill>
      <patternFill patternType="solid">
        <fgColor rgb="FFD5A6BD"/>
        <bgColor rgb="FFE6B8AF"/>
      </patternFill>
    </fill>
    <fill>
      <patternFill patternType="solid">
        <fgColor rgb="FF38761D"/>
        <bgColor rgb="FF555555"/>
      </patternFill>
    </fill>
    <fill>
      <patternFill patternType="solid">
        <fgColor rgb="FF674EA7"/>
        <bgColor rgb="FF725990"/>
      </patternFill>
    </fill>
    <fill>
      <patternFill patternType="solid">
        <fgColor rgb="FF8E7CC3"/>
        <bgColor rgb="FF7A8794"/>
      </patternFill>
    </fill>
    <fill>
      <patternFill patternType="solid">
        <fgColor rgb="FFF1C232"/>
        <bgColor rgb="FFE6B8AF"/>
      </patternFill>
    </fill>
    <fill>
      <patternFill patternType="solid">
        <fgColor rgb="FF3D85C6"/>
        <bgColor rgb="FF4F81BD"/>
      </patternFill>
    </fill>
    <fill>
      <patternFill patternType="solid">
        <fgColor rgb="FFFF0000"/>
        <bgColor rgb="FF9C1C10"/>
      </patternFill>
    </fill>
    <fill>
      <patternFill patternType="solid">
        <fgColor rgb="FF6AA84F"/>
        <bgColor rgb="FF8AA64F"/>
      </patternFill>
    </fill>
    <fill>
      <patternFill patternType="solid">
        <fgColor rgb="FFE6B8AF"/>
        <bgColor rgb="FFD5A6BD"/>
      </patternFill>
    </fill>
  </fills>
  <borders count="3">
    <border>
      <left/>
      <right/>
      <top/>
      <bottom/>
      <diagonal/>
    </border>
    <border>
      <left style="thin">
        <color rgb="FFD0D8DE"/>
      </left>
      <right style="thin">
        <color rgb="FFD0D8DE"/>
      </right>
      <top style="thin">
        <color rgb="FFD0D8DE"/>
      </top>
      <bottom style="thin">
        <color rgb="FFD0D8DE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1" fillId="10" borderId="0" xfId="0" applyFont="1" applyFill="1"/>
    <xf numFmtId="164" fontId="19" fillId="9" borderId="0" xfId="0" applyNumberFormat="1" applyFont="1" applyFill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164" fontId="19" fillId="8" borderId="0" xfId="0" applyNumberFormat="1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64" fontId="13" fillId="4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164" fontId="14" fillId="5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5" fillId="3" borderId="0" xfId="0" applyFont="1" applyFill="1"/>
    <xf numFmtId="0" fontId="6" fillId="0" borderId="0" xfId="0" applyFont="1"/>
    <xf numFmtId="4" fontId="7" fillId="0" borderId="0" xfId="0" applyNumberFormat="1" applyFont="1"/>
    <xf numFmtId="0" fontId="8" fillId="0" borderId="0" xfId="0" applyFont="1"/>
    <xf numFmtId="0" fontId="9" fillId="2" borderId="0" xfId="0" applyFont="1" applyFill="1"/>
    <xf numFmtId="4" fontId="0" fillId="0" borderId="0" xfId="0" applyNumberFormat="1"/>
    <xf numFmtId="0" fontId="10" fillId="0" borderId="0" xfId="0" applyFont="1"/>
    <xf numFmtId="0" fontId="15" fillId="0" borderId="0" xfId="0" applyFont="1"/>
    <xf numFmtId="0" fontId="16" fillId="5" borderId="0" xfId="0" applyFont="1" applyFill="1"/>
    <xf numFmtId="0" fontId="0" fillId="5" borderId="0" xfId="0" applyFill="1"/>
    <xf numFmtId="0" fontId="16" fillId="6" borderId="0" xfId="0" applyFont="1" applyFill="1"/>
    <xf numFmtId="0" fontId="0" fillId="6" borderId="0" xfId="0" applyFill="1"/>
    <xf numFmtId="0" fontId="0" fillId="7" borderId="0" xfId="0" applyFill="1"/>
    <xf numFmtId="0" fontId="22" fillId="11" borderId="0" xfId="0" applyFont="1" applyFill="1"/>
    <xf numFmtId="0" fontId="21" fillId="12" borderId="0" xfId="0" applyFont="1" applyFill="1"/>
    <xf numFmtId="0" fontId="21" fillId="13" borderId="0" xfId="0" applyFont="1" applyFill="1"/>
    <xf numFmtId="0" fontId="21" fillId="14" borderId="0" xfId="0" applyFont="1" applyFill="1"/>
    <xf numFmtId="0" fontId="22" fillId="15" borderId="0" xfId="0" applyFont="1" applyFill="1"/>
    <xf numFmtId="0" fontId="0" fillId="0" borderId="1" xfId="0" applyBorder="1" applyAlignment="1">
      <alignment horizontal="center"/>
    </xf>
    <xf numFmtId="0" fontId="10" fillId="0" borderId="1" xfId="0" applyFont="1" applyBorder="1"/>
    <xf numFmtId="165" fontId="0" fillId="0" borderId="0" xfId="0" applyNumberFormat="1"/>
    <xf numFmtId="165" fontId="10" fillId="0" borderId="0" xfId="0" applyNumberFormat="1" applyFont="1"/>
    <xf numFmtId="0" fontId="0" fillId="0" borderId="1" xfId="0" applyBorder="1"/>
    <xf numFmtId="0" fontId="22" fillId="0" borderId="0" xfId="0" applyFont="1"/>
    <xf numFmtId="164" fontId="22" fillId="0" borderId="0" xfId="0" applyNumberFormat="1" applyFont="1"/>
    <xf numFmtId="0" fontId="22" fillId="0" borderId="2" xfId="0" applyFont="1" applyBorder="1"/>
    <xf numFmtId="165" fontId="22" fillId="0" borderId="2" xfId="0" applyNumberFormat="1" applyFont="1" applyBorder="1"/>
    <xf numFmtId="0" fontId="0" fillId="0" borderId="2" xfId="0" applyBorder="1"/>
    <xf numFmtId="165" fontId="0" fillId="0" borderId="2" xfId="0" applyNumberFormat="1" applyBorder="1"/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2" fillId="0" borderId="1" xfId="0" applyFont="1" applyBorder="1" applyAlignment="1">
      <alignment horizontal="center"/>
    </xf>
    <xf numFmtId="0" fontId="23" fillId="0" borderId="0" xfId="0" applyFont="1"/>
    <xf numFmtId="169" fontId="10" fillId="0" borderId="0" xfId="0" applyNumberFormat="1" applyFont="1"/>
    <xf numFmtId="164" fontId="10" fillId="0" borderId="0" xfId="0" applyNumberFormat="1" applyFont="1"/>
    <xf numFmtId="169" fontId="0" fillId="0" borderId="0" xfId="0" applyNumberFormat="1"/>
  </cellXfs>
  <cellStyles count="1">
    <cellStyle name="Normal" xfId="0" builtinId="0"/>
  </cellStyles>
  <dxfs count="18">
    <dxf>
      <font>
        <b/>
        <color rgb="FFFFFFFF"/>
      </font>
      <fill>
        <patternFill>
          <bgColor rgb="FF9C1C10"/>
        </patternFill>
      </fill>
    </dxf>
    <dxf>
      <fill>
        <patternFill>
          <bgColor rgb="FFCFE2F3"/>
        </patternFill>
      </fill>
    </dxf>
    <dxf>
      <fill>
        <patternFill>
          <bgColor rgb="FFD9D2E9"/>
        </patternFill>
      </fill>
    </dxf>
    <dxf>
      <fill>
        <patternFill>
          <bgColor rgb="FFD9D2E9"/>
        </patternFill>
      </fill>
    </dxf>
    <dxf>
      <fill>
        <patternFill>
          <bgColor rgb="FFF4CCCC"/>
        </patternFill>
      </fill>
    </dxf>
    <dxf>
      <fill>
        <patternFill>
          <bgColor rgb="FFB6D7A8"/>
        </patternFill>
      </fill>
    </dxf>
    <dxf>
      <fill>
        <patternFill>
          <bgColor rgb="FFFBE3A8"/>
        </patternFill>
      </fill>
    </dxf>
    <dxf>
      <fill>
        <patternFill>
          <bgColor rgb="FFA4C2F4"/>
        </patternFill>
      </fill>
    </dxf>
    <dxf>
      <font>
        <strike/>
        <color rgb="FF8A96A0"/>
      </font>
    </dxf>
    <dxf>
      <font>
        <b/>
        <color rgb="FFFFFFFF"/>
      </font>
      <fill>
        <patternFill>
          <bgColor rgb="FF9C1C10"/>
        </patternFill>
      </fill>
    </dxf>
    <dxf>
      <fill>
        <patternFill>
          <bgColor rgb="FFCFE2F3"/>
        </patternFill>
      </fill>
    </dxf>
    <dxf>
      <fill>
        <patternFill>
          <bgColor rgb="FFD9D2E9"/>
        </patternFill>
      </fill>
    </dxf>
    <dxf>
      <fill>
        <patternFill>
          <bgColor rgb="FFD9D2E9"/>
        </patternFill>
      </fill>
    </dxf>
    <dxf>
      <fill>
        <patternFill>
          <bgColor rgb="FFF4CCCC"/>
        </patternFill>
      </fill>
    </dxf>
    <dxf>
      <fill>
        <patternFill>
          <bgColor rgb="FFB6D7A8"/>
        </patternFill>
      </fill>
    </dxf>
    <dxf>
      <fill>
        <patternFill>
          <bgColor rgb="FFFBE3A8"/>
        </patternFill>
      </fill>
    </dxf>
    <dxf>
      <fill>
        <patternFill>
          <bgColor rgb="FFA4C2F4"/>
        </patternFill>
      </fill>
    </dxf>
    <dxf>
      <font>
        <strike/>
        <color rgb="FF8A96A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B6D7A8"/>
      <rgbColor rgb="FFFF00FF"/>
      <rgbColor rgb="FFA4C2F4"/>
      <rgbColor rgb="FF800000"/>
      <rgbColor rgb="FF38761D"/>
      <rgbColor rgb="FF000080"/>
      <rgbColor rgb="FF8AA64F"/>
      <rgbColor rgb="FF8064A2"/>
      <rgbColor rgb="FF1F7A8C"/>
      <rgbColor rgb="FFB8CD97"/>
      <rgbColor rgb="FF878787"/>
      <rgbColor rgb="FF93A9CE"/>
      <rgbColor rgb="FFAB4744"/>
      <rgbColor rgb="FFFFF7D6"/>
      <rgbColor rgb="FFCFE2F3"/>
      <rgbColor rgb="FF7A8794"/>
      <rgbColor rgb="FFDD7E6B"/>
      <rgbColor rgb="FF4672A8"/>
      <rgbColor rgb="FFD9D2E9"/>
      <rgbColor rgb="FF000080"/>
      <rgbColor rgb="FFFF00FF"/>
      <rgbColor rgb="FF93C47D"/>
      <rgbColor rgb="FF00FFFF"/>
      <rgbColor rgb="FF8E7CC3"/>
      <rgbColor rgb="FF800000"/>
      <rgbColor rgb="FF4F81BD"/>
      <rgbColor rgb="FF0000FF"/>
      <rgbColor rgb="FF6AA84F"/>
      <rgbColor rgb="FFD0D8DE"/>
      <rgbColor rgb="FFD9D9D9"/>
      <rgbColor rgb="FFFBE3A8"/>
      <rgbColor rgb="FF9FC5E8"/>
      <rgbColor rgb="FFE6B8AF"/>
      <rgbColor rgb="FFD5A6BD"/>
      <rgbColor rgb="FFF4CCCC"/>
      <rgbColor rgb="FF3D85C6"/>
      <rgbColor rgb="FF4BACC6"/>
      <rgbColor rgb="FF9BBB59"/>
      <rgbColor rgb="FFF1C232"/>
      <rgbColor rgb="FFDC853E"/>
      <rgbColor rgb="FFD09493"/>
      <rgbColor rgb="FF725990"/>
      <rgbColor rgb="FF8A96A0"/>
      <rgbColor rgb="FF0F2A47"/>
      <rgbColor rgb="FF4299B0"/>
      <rgbColor rgb="FF5B6B7A"/>
      <rgbColor rgb="FF555555"/>
      <rgbColor rgb="FF9C1C10"/>
      <rgbColor rgb="FFC0504D"/>
      <rgbColor rgb="FF674EA7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3CD-4C5A-A213-B9A2FB4A5936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3CD-4C5A-A213-B9A2FB4A5936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3CD-4C5A-A213-B9A2FB4A5936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3CD-4C5A-A213-B9A2FB4A5936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3CD-4C5A-A213-B9A2FB4A593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3CD-4C5A-A213-B9A2FB4A593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3CD-4C5A-A213-B9A2FB4A593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3CD-4C5A-A213-B9A2FB4A593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3CD-4C5A-A213-B9A2FB4A593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3CD-4C5A-A213-B9A2FB4A59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Dashboard!$A$11:$A$15</c:f>
              <c:strCache>
                <c:ptCount val="5"/>
                <c:pt idx="0">
                  <c:v>Salary</c:v>
                </c:pt>
                <c:pt idx="1">
                  <c:v>Freelance</c:v>
                </c:pt>
                <c:pt idx="2">
                  <c:v>Teaching</c:v>
                </c:pt>
                <c:pt idx="3">
                  <c:v>Stipend</c:v>
                </c:pt>
                <c:pt idx="4">
                  <c:v>Cash income</c:v>
                </c:pt>
              </c:strCache>
            </c:strRef>
          </c:cat>
          <c:val>
            <c:numRef>
              <c:f>Dashboard!$B$11:$B$15</c:f>
              <c:numCache>
                <c:formatCode>#,##0.00</c:formatCode>
                <c:ptCount val="5"/>
                <c:pt idx="0">
                  <c:v>1350</c:v>
                </c:pt>
                <c:pt idx="1">
                  <c:v>500</c:v>
                </c:pt>
                <c:pt idx="2">
                  <c:v>380</c:v>
                </c:pt>
                <c:pt idx="3">
                  <c:v>800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CD-4C5A-A213-B9A2FB4A5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Dashboard!$D$10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656-41C4-BD48-7F7787C0D752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656-41C4-BD48-7F7787C0D752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656-41C4-BD48-7F7787C0D752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656-41C4-BD48-7F7787C0D752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656-41C4-BD48-7F7787C0D752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656-41C4-BD48-7F7787C0D752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C656-41C4-BD48-7F7787C0D752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656-41C4-BD48-7F7787C0D752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656-41C4-BD48-7F7787C0D75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C656-41C4-BD48-7F7787C0D75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C656-41C4-BD48-7F7787C0D75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C656-41C4-BD48-7F7787C0D75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C656-41C4-BD48-7F7787C0D752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C656-41C4-BD48-7F7787C0D752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C656-41C4-BD48-7F7787C0D752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C656-41C4-BD48-7F7787C0D752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C656-41C4-BD48-7F7787C0D752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C656-41C4-BD48-7F7787C0D7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Dashboard!$C$11:$C$19</c:f>
              <c:strCache>
                <c:ptCount val="9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</c:strCache>
            </c:strRef>
          </c:cat>
          <c:val>
            <c:numRef>
              <c:f>Dashboard!$D$11:$D$19</c:f>
              <c:numCache>
                <c:formatCode>#,##0.00</c:formatCode>
                <c:ptCount val="9"/>
                <c:pt idx="0">
                  <c:v>640</c:v>
                </c:pt>
                <c:pt idx="1">
                  <c:v>245.75</c:v>
                </c:pt>
                <c:pt idx="2">
                  <c:v>75.699999999999989</c:v>
                </c:pt>
                <c:pt idx="3">
                  <c:v>54.5</c:v>
                </c:pt>
                <c:pt idx="4">
                  <c:v>29.98</c:v>
                </c:pt>
                <c:pt idx="5">
                  <c:v>59</c:v>
                </c:pt>
                <c:pt idx="6">
                  <c:v>24</c:v>
                </c:pt>
                <c:pt idx="7">
                  <c:v>37.299999999999997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656-41C4-BD48-7F7787C0D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Where income went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Dashboard!$H$10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940-40F0-87D9-EBEB93D4D1F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940-40F0-87D9-EBEB93D4D1F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940-40F0-87D9-EBEB93D4D1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1940-40F0-87D9-EBEB93D4D1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1940-40F0-87D9-EBEB93D4D1F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1940-40F0-87D9-EBEB93D4D1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Dashboard!$G$11:$G$13</c:f>
              <c:strCache>
                <c:ptCount val="3"/>
                <c:pt idx="0">
                  <c:v>Expenses</c:v>
                </c:pt>
                <c:pt idx="1">
                  <c:v>Saved and invested</c:v>
                </c:pt>
                <c:pt idx="2">
                  <c:v>Left over</c:v>
                </c:pt>
              </c:strCache>
            </c:strRef>
          </c:cat>
          <c:val>
            <c:numRef>
              <c:f>Dashboard!$H$11:$H$13</c:f>
              <c:numCache>
                <c:formatCode>#,##0.00</c:formatCode>
                <c:ptCount val="3"/>
                <c:pt idx="0">
                  <c:v>1246.23</c:v>
                </c:pt>
                <c:pt idx="1">
                  <c:v>600</c:v>
                </c:pt>
                <c:pt idx="2">
                  <c:v>1183.77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940-40F0-87D9-EBEB93D4D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'January 2026'!$Y$3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097-4413-814B-28007959F03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097-4413-814B-28007959F03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097-4413-814B-28007959F03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097-4413-814B-28007959F03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097-4413-814B-28007959F03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097-4413-814B-28007959F03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097-4413-814B-28007959F03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097-4413-814B-28007959F0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'January 2026'!$X$4:$X$7</c:f>
              <c:strCache>
                <c:ptCount val="4"/>
                <c:pt idx="0">
                  <c:v>Savings account</c:v>
                </c:pt>
                <c:pt idx="1">
                  <c:v>Income</c:v>
                </c:pt>
                <c:pt idx="2">
                  <c:v>Expenses</c:v>
                </c:pt>
                <c:pt idx="3">
                  <c:v>SEI</c:v>
                </c:pt>
              </c:strCache>
            </c:strRef>
          </c:cat>
          <c:val>
            <c:numRef>
              <c:f>'January 2026'!$Y$4:$Y$7</c:f>
              <c:numCache>
                <c:formatCode>#,##0.00</c:formatCode>
                <c:ptCount val="4"/>
                <c:pt idx="0">
                  <c:v>1500</c:v>
                </c:pt>
                <c:pt idx="1">
                  <c:v>2950</c:v>
                </c:pt>
                <c:pt idx="2">
                  <c:v>1846.23</c:v>
                </c:pt>
                <c:pt idx="3">
                  <c:v>7300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97-4413-814B-28007959F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'January 2026'!$F$15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FEE-46C7-94BF-4AA0F336078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FEE-46C7-94BF-4AA0F336078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FEE-46C7-94BF-4AA0F336078A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FEE-46C7-94BF-4AA0F336078A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FEE-46C7-94BF-4AA0F336078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FEE-46C7-94BF-4AA0F336078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FEE-46C7-94BF-4AA0F336078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FEE-46C7-94BF-4AA0F336078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FEE-46C7-94BF-4AA0F336078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FEE-46C7-94BF-4AA0F33607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'January 2026'!$E$16:$E$20</c:f>
              <c:strCache>
                <c:ptCount val="5"/>
                <c:pt idx="0">
                  <c:v>Salary</c:v>
                </c:pt>
                <c:pt idx="1">
                  <c:v>Freelance</c:v>
                </c:pt>
                <c:pt idx="2">
                  <c:v>Teaching</c:v>
                </c:pt>
                <c:pt idx="3">
                  <c:v>Stipend</c:v>
                </c:pt>
                <c:pt idx="4">
                  <c:v>Cash income</c:v>
                </c:pt>
              </c:strCache>
            </c:strRef>
          </c:cat>
          <c:val>
            <c:numRef>
              <c:f>'January 2026'!$F$16:$F$20</c:f>
              <c:numCache>
                <c:formatCode>[$€]#,##0.00;[Red]\-[$€]#,##0.00</c:formatCode>
                <c:ptCount val="5"/>
                <c:pt idx="0">
                  <c:v>1350</c:v>
                </c:pt>
                <c:pt idx="1">
                  <c:v>420</c:v>
                </c:pt>
                <c:pt idx="2">
                  <c:v>380</c:v>
                </c:pt>
                <c:pt idx="3">
                  <c:v>800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EE-46C7-94BF-4AA0F3360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'January 2026'!$J$15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5E9-4073-8CF6-CAAFAB905411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5E9-4073-8CF6-CAAFAB905411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5E9-4073-8CF6-CAAFAB905411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5E9-4073-8CF6-CAAFAB905411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5E9-4073-8CF6-CAAFAB905411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5E9-4073-8CF6-CAAFAB905411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5E9-4073-8CF6-CAAFAB905411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5E9-4073-8CF6-CAAFAB905411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5E9-4073-8CF6-CAAFAB90541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5E9-4073-8CF6-CAAFAB90541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5E9-4073-8CF6-CAAFAB90541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5E9-4073-8CF6-CAAFAB905411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65E9-4073-8CF6-CAAFAB905411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65E9-4073-8CF6-CAAFAB905411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65E9-4073-8CF6-CAAFAB905411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65E9-4073-8CF6-CAAFAB905411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65E9-4073-8CF6-CAAFAB905411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65E9-4073-8CF6-CAAFAB9054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'January 2026'!$H$16:$H$24</c:f>
              <c:strCache>
                <c:ptCount val="9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</c:strCache>
            </c:strRef>
          </c:cat>
          <c:val>
            <c:numRef>
              <c:f>'January 2026'!$J$16:$J$24</c:f>
              <c:numCache>
                <c:formatCode>[$€]#,##0.00;[Red]\-[$€]#,##0.00</c:formatCode>
                <c:ptCount val="9"/>
                <c:pt idx="0">
                  <c:v>640</c:v>
                </c:pt>
                <c:pt idx="1">
                  <c:v>245.75</c:v>
                </c:pt>
                <c:pt idx="2">
                  <c:v>75.699999999999989</c:v>
                </c:pt>
                <c:pt idx="3">
                  <c:v>54.5</c:v>
                </c:pt>
                <c:pt idx="4">
                  <c:v>29.98</c:v>
                </c:pt>
                <c:pt idx="5">
                  <c:v>59</c:v>
                </c:pt>
                <c:pt idx="6">
                  <c:v>24</c:v>
                </c:pt>
                <c:pt idx="7">
                  <c:v>37.299999999999997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5E9-4073-8CF6-CAAFAB905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Budget vs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'January 2026'!$I$15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'January 2026'!$H$16:$H$25</c:f>
              <c:strCache>
                <c:ptCount val="10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  <c:pt idx="9">
                  <c:v>Savings and investments</c:v>
                </c:pt>
              </c:strCache>
            </c:strRef>
          </c:cat>
          <c:val>
            <c:numRef>
              <c:f>'January 2026'!$I$16:$I$25</c:f>
              <c:numCache>
                <c:formatCode>[$€]#,##0.00;[Red]\-[$€]#,##0.00</c:formatCode>
                <c:ptCount val="10"/>
                <c:pt idx="0">
                  <c:v>640</c:v>
                </c:pt>
                <c:pt idx="1">
                  <c:v>260</c:v>
                </c:pt>
                <c:pt idx="2">
                  <c:v>70</c:v>
                </c:pt>
                <c:pt idx="3">
                  <c:v>70</c:v>
                </c:pt>
                <c:pt idx="4">
                  <c:v>40</c:v>
                </c:pt>
                <c:pt idx="5">
                  <c:v>80</c:v>
                </c:pt>
                <c:pt idx="6">
                  <c:v>25</c:v>
                </c:pt>
                <c:pt idx="7">
                  <c:v>60</c:v>
                </c:pt>
                <c:pt idx="8">
                  <c:v>100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5-4947-B57A-BC4B7223BAB5}"/>
            </c:ext>
          </c:extLst>
        </c:ser>
        <c:ser>
          <c:idx val="1"/>
          <c:order val="1"/>
          <c:tx>
            <c:strRef>
              <c:f>'January 2026'!$J$15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'January 2026'!$H$16:$H$25</c:f>
              <c:strCache>
                <c:ptCount val="10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  <c:pt idx="9">
                  <c:v>Savings and investments</c:v>
                </c:pt>
              </c:strCache>
            </c:strRef>
          </c:cat>
          <c:val>
            <c:numRef>
              <c:f>'January 2026'!$J$16:$J$25</c:f>
              <c:numCache>
                <c:formatCode>[$€]#,##0.00;[Red]\-[$€]#,##0.00</c:formatCode>
                <c:ptCount val="10"/>
                <c:pt idx="0">
                  <c:v>640</c:v>
                </c:pt>
                <c:pt idx="1">
                  <c:v>245.75</c:v>
                </c:pt>
                <c:pt idx="2">
                  <c:v>75.699999999999989</c:v>
                </c:pt>
                <c:pt idx="3">
                  <c:v>54.5</c:v>
                </c:pt>
                <c:pt idx="4">
                  <c:v>29.98</c:v>
                </c:pt>
                <c:pt idx="5">
                  <c:v>59</c:v>
                </c:pt>
                <c:pt idx="6">
                  <c:v>24</c:v>
                </c:pt>
                <c:pt idx="7">
                  <c:v>37.299999999999997</c:v>
                </c:pt>
                <c:pt idx="8">
                  <c:v>80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65-4947-B57A-BC4B7223B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33831"/>
        <c:axId val="6952157"/>
      </c:barChart>
      <c:catAx>
        <c:axId val="3833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52157"/>
        <c:crosses val="autoZero"/>
        <c:auto val="1"/>
        <c:lblAlgn val="ctr"/>
        <c:lblOffset val="100"/>
        <c:noMultiLvlLbl val="0"/>
      </c:catAx>
      <c:valAx>
        <c:axId val="69521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€]#,##0.00;[Red]\-[$€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 vert="horz"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338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Overview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'February 2026'!$Y$3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83B-4409-AF9A-40C9864CBD0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83B-4409-AF9A-40C9864CBD0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83B-4409-AF9A-40C9864CBD0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83B-4409-AF9A-40C9864CBD0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83B-4409-AF9A-40C9864CBD0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83B-4409-AF9A-40C9864CBD0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83B-4409-AF9A-40C9864CBD0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83B-4409-AF9A-40C9864CBD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'February 2026'!$X$4:$X$7</c:f>
              <c:strCache>
                <c:ptCount val="4"/>
                <c:pt idx="0">
                  <c:v>Savings account</c:v>
                </c:pt>
                <c:pt idx="1">
                  <c:v>Income</c:v>
                </c:pt>
                <c:pt idx="2">
                  <c:v>Expenses</c:v>
                </c:pt>
                <c:pt idx="3">
                  <c:v>SEI</c:v>
                </c:pt>
              </c:strCache>
            </c:strRef>
          </c:cat>
          <c:val>
            <c:numRef>
              <c:f>'February 2026'!$Y$4:$Y$7</c:f>
              <c:numCache>
                <c:formatCode>#,##0.00</c:formatCode>
                <c:ptCount val="4"/>
                <c:pt idx="0">
                  <c:v>1800</c:v>
                </c:pt>
                <c:pt idx="1">
                  <c:v>3030</c:v>
                </c:pt>
                <c:pt idx="2">
                  <c:v>1846.23</c:v>
                </c:pt>
                <c:pt idx="3">
                  <c:v>7900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3B-4409-AF9A-40C9864CB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'February 2026'!$F$15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33C9-4413-AB05-0DD91AF606A7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3C9-4413-AB05-0DD91AF606A7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3C9-4413-AB05-0DD91AF606A7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3C9-4413-AB05-0DD91AF606A7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3C9-4413-AB05-0DD91AF606A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33C9-4413-AB05-0DD91AF606A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33C9-4413-AB05-0DD91AF606A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33C9-4413-AB05-0DD91AF606A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33C9-4413-AB05-0DD91AF606A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33C9-4413-AB05-0DD91AF606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'February 2026'!$E$16:$E$20</c:f>
              <c:strCache>
                <c:ptCount val="5"/>
                <c:pt idx="0">
                  <c:v>Salary</c:v>
                </c:pt>
                <c:pt idx="1">
                  <c:v>Freelance</c:v>
                </c:pt>
                <c:pt idx="2">
                  <c:v>Teaching</c:v>
                </c:pt>
                <c:pt idx="3">
                  <c:v>Stipend</c:v>
                </c:pt>
                <c:pt idx="4">
                  <c:v>Cash income</c:v>
                </c:pt>
              </c:strCache>
            </c:strRef>
          </c:cat>
          <c:val>
            <c:numRef>
              <c:f>'February 2026'!$F$16:$F$20</c:f>
              <c:numCache>
                <c:formatCode>[$€]#,##0.00;[Red]\-[$€]#,##0.00</c:formatCode>
                <c:ptCount val="5"/>
                <c:pt idx="0">
                  <c:v>1350</c:v>
                </c:pt>
                <c:pt idx="1">
                  <c:v>500</c:v>
                </c:pt>
                <c:pt idx="2">
                  <c:v>380</c:v>
                </c:pt>
                <c:pt idx="3">
                  <c:v>800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C9-4413-AB05-0DD91AF60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Spending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'February 2026'!$J$15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282-49AE-8E91-504E874EA3BA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282-49AE-8E91-504E874EA3BA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282-49AE-8E91-504E874EA3BA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282-49AE-8E91-504E874EA3BA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282-49AE-8E91-504E874EA3BA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282-49AE-8E91-504E874EA3BA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9282-49AE-8E91-504E874EA3BA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9282-49AE-8E91-504E874EA3BA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282-49AE-8E91-504E874EA3B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282-49AE-8E91-504E874EA3B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282-49AE-8E91-504E874EA3B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282-49AE-8E91-504E874EA3B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9282-49AE-8E91-504E874EA3B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9282-49AE-8E91-504E874EA3B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9282-49AE-8E91-504E874EA3B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9282-49AE-8E91-504E874EA3BA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9282-49AE-8E91-504E874EA3BA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9282-49AE-8E91-504E874EA3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'February 2026'!$H$16:$H$24</c:f>
              <c:strCache>
                <c:ptCount val="9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</c:strCache>
            </c:strRef>
          </c:cat>
          <c:val>
            <c:numRef>
              <c:f>'February 2026'!$J$16:$J$24</c:f>
              <c:numCache>
                <c:formatCode>[$€]#,##0.00;[Red]\-[$€]#,##0.00</c:formatCode>
                <c:ptCount val="9"/>
                <c:pt idx="0">
                  <c:v>640</c:v>
                </c:pt>
                <c:pt idx="1">
                  <c:v>245.75</c:v>
                </c:pt>
                <c:pt idx="2">
                  <c:v>75.699999999999989</c:v>
                </c:pt>
                <c:pt idx="3">
                  <c:v>54.5</c:v>
                </c:pt>
                <c:pt idx="4">
                  <c:v>29.98</c:v>
                </c:pt>
                <c:pt idx="5">
                  <c:v>59</c:v>
                </c:pt>
                <c:pt idx="6">
                  <c:v>24</c:v>
                </c:pt>
                <c:pt idx="7">
                  <c:v>37.299999999999997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282-49AE-8E91-504E874EA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Budget vs used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'February 2026'!$I$15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'February 2026'!$H$16:$H$25</c:f>
              <c:strCache>
                <c:ptCount val="10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  <c:pt idx="9">
                  <c:v>Savings and investments</c:v>
                </c:pt>
              </c:strCache>
            </c:strRef>
          </c:cat>
          <c:val>
            <c:numRef>
              <c:f>'February 2026'!$I$16:$I$25</c:f>
              <c:numCache>
                <c:formatCode>[$€]#,##0.00;[Red]\-[$€]#,##0.00</c:formatCode>
                <c:ptCount val="10"/>
                <c:pt idx="0">
                  <c:v>640</c:v>
                </c:pt>
                <c:pt idx="1">
                  <c:v>260</c:v>
                </c:pt>
                <c:pt idx="2">
                  <c:v>70</c:v>
                </c:pt>
                <c:pt idx="3">
                  <c:v>70</c:v>
                </c:pt>
                <c:pt idx="4">
                  <c:v>40</c:v>
                </c:pt>
                <c:pt idx="5">
                  <c:v>80</c:v>
                </c:pt>
                <c:pt idx="6">
                  <c:v>25</c:v>
                </c:pt>
                <c:pt idx="7">
                  <c:v>60</c:v>
                </c:pt>
                <c:pt idx="8">
                  <c:v>100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A-4B84-B7E1-4DEE4F6685F0}"/>
            </c:ext>
          </c:extLst>
        </c:ser>
        <c:ser>
          <c:idx val="1"/>
          <c:order val="1"/>
          <c:tx>
            <c:strRef>
              <c:f>'February 2026'!$J$15</c:f>
              <c:strCache>
                <c:ptCount val="1"/>
                <c:pt idx="0">
                  <c:v>Used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'February 2026'!$H$16:$H$25</c:f>
              <c:strCache>
                <c:ptCount val="10"/>
                <c:pt idx="0">
                  <c:v>Housing</c:v>
                </c:pt>
                <c:pt idx="1">
                  <c:v>Groceries</c:v>
                </c:pt>
                <c:pt idx="2">
                  <c:v>Eating out</c:v>
                </c:pt>
                <c:pt idx="3">
                  <c:v>Travel</c:v>
                </c:pt>
                <c:pt idx="4">
                  <c:v>Subscriptions</c:v>
                </c:pt>
                <c:pt idx="5">
                  <c:v>Electronics</c:v>
                </c:pt>
                <c:pt idx="6">
                  <c:v>Gym</c:v>
                </c:pt>
                <c:pt idx="7">
                  <c:v>Miscellaneous</c:v>
                </c:pt>
                <c:pt idx="8">
                  <c:v>Family</c:v>
                </c:pt>
                <c:pt idx="9">
                  <c:v>Savings and investments</c:v>
                </c:pt>
              </c:strCache>
            </c:strRef>
          </c:cat>
          <c:val>
            <c:numRef>
              <c:f>'February 2026'!$J$16:$J$25</c:f>
              <c:numCache>
                <c:formatCode>[$€]#,##0.00;[Red]\-[$€]#,##0.00</c:formatCode>
                <c:ptCount val="10"/>
                <c:pt idx="0">
                  <c:v>640</c:v>
                </c:pt>
                <c:pt idx="1">
                  <c:v>245.75</c:v>
                </c:pt>
                <c:pt idx="2">
                  <c:v>75.699999999999989</c:v>
                </c:pt>
                <c:pt idx="3">
                  <c:v>54.5</c:v>
                </c:pt>
                <c:pt idx="4">
                  <c:v>29.98</c:v>
                </c:pt>
                <c:pt idx="5">
                  <c:v>59</c:v>
                </c:pt>
                <c:pt idx="6">
                  <c:v>24</c:v>
                </c:pt>
                <c:pt idx="7">
                  <c:v>37.299999999999997</c:v>
                </c:pt>
                <c:pt idx="8">
                  <c:v>80</c:v>
                </c:pt>
                <c:pt idx="9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A-4B84-B7E1-4DEE4F668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08206"/>
        <c:axId val="50580206"/>
      </c:barChart>
      <c:catAx>
        <c:axId val="1690820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580206"/>
        <c:crosses val="autoZero"/>
        <c:auto val="1"/>
        <c:lblAlgn val="ctr"/>
        <c:lblOffset val="100"/>
        <c:noMultiLvlLbl val="0"/>
      </c:catAx>
      <c:valAx>
        <c:axId val="505802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[$€]#,##0.00;[Red]\-[$€]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0820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131040</xdr:rowOff>
    </xdr:from>
    <xdr:to>
      <xdr:col>2</xdr:col>
      <xdr:colOff>1350000</xdr:colOff>
      <xdr:row>36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21</xdr:row>
      <xdr:rowOff>131040</xdr:rowOff>
    </xdr:from>
    <xdr:to>
      <xdr:col>7</xdr:col>
      <xdr:colOff>151920</xdr:colOff>
      <xdr:row>36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21</xdr:row>
      <xdr:rowOff>131040</xdr:rowOff>
    </xdr:from>
    <xdr:to>
      <xdr:col>13</xdr:col>
      <xdr:colOff>313920</xdr:colOff>
      <xdr:row>36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156960</xdr:rowOff>
    </xdr:from>
    <xdr:to>
      <xdr:col>2</xdr:col>
      <xdr:colOff>690120</xdr:colOff>
      <xdr:row>12</xdr:row>
      <xdr:rowOff>106560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</xdr:row>
      <xdr:rowOff>156960</xdr:rowOff>
    </xdr:from>
    <xdr:to>
      <xdr:col>6</xdr:col>
      <xdr:colOff>198360</xdr:colOff>
      <xdr:row>12</xdr:row>
      <xdr:rowOff>106560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</xdr:row>
      <xdr:rowOff>156960</xdr:rowOff>
    </xdr:from>
    <xdr:to>
      <xdr:col>10</xdr:col>
      <xdr:colOff>789480</xdr:colOff>
      <xdr:row>12</xdr:row>
      <xdr:rowOff>106560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51</xdr:row>
      <xdr:rowOff>71280</xdr:rowOff>
    </xdr:from>
    <xdr:to>
      <xdr:col>11</xdr:col>
      <xdr:colOff>309600</xdr:colOff>
      <xdr:row>66</xdr:row>
      <xdr:rowOff>93240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156960</xdr:rowOff>
    </xdr:from>
    <xdr:to>
      <xdr:col>2</xdr:col>
      <xdr:colOff>690120</xdr:colOff>
      <xdr:row>12</xdr:row>
      <xdr:rowOff>106560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4</xdr:row>
      <xdr:rowOff>156960</xdr:rowOff>
    </xdr:from>
    <xdr:to>
      <xdr:col>6</xdr:col>
      <xdr:colOff>198360</xdr:colOff>
      <xdr:row>12</xdr:row>
      <xdr:rowOff>106560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4</xdr:row>
      <xdr:rowOff>156960</xdr:rowOff>
    </xdr:from>
    <xdr:to>
      <xdr:col>10</xdr:col>
      <xdr:colOff>789480</xdr:colOff>
      <xdr:row>12</xdr:row>
      <xdr:rowOff>106560</xdr:rowOff>
    </xdr:to>
    <xdr:graphicFrame macro="">
      <xdr:nvGraphicFramePr>
        <xdr:cNvPr id="9" name="Chart 3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51</xdr:row>
      <xdr:rowOff>71280</xdr:rowOff>
    </xdr:from>
    <xdr:to>
      <xdr:col>11</xdr:col>
      <xdr:colOff>309600</xdr:colOff>
      <xdr:row>66</xdr:row>
      <xdr:rowOff>93240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ht="17.5" x14ac:dyDescent="0.35">
      <c r="A1" s="14" t="s">
        <v>0</v>
      </c>
    </row>
    <row r="2" spans="1:1" x14ac:dyDescent="0.35">
      <c r="A2" s="15"/>
    </row>
    <row r="3" spans="1:1" x14ac:dyDescent="0.35">
      <c r="A3" s="15" t="s">
        <v>1</v>
      </c>
    </row>
    <row r="4" spans="1:1" x14ac:dyDescent="0.35">
      <c r="A4" s="15"/>
    </row>
    <row r="5" spans="1:1" x14ac:dyDescent="0.35">
      <c r="A5" s="16" t="s">
        <v>2</v>
      </c>
    </row>
    <row r="6" spans="1:1" x14ac:dyDescent="0.35">
      <c r="A6" s="15" t="s">
        <v>3</v>
      </c>
    </row>
    <row r="7" spans="1:1" x14ac:dyDescent="0.35">
      <c r="A7" s="15" t="s">
        <v>4</v>
      </c>
    </row>
    <row r="8" spans="1:1" x14ac:dyDescent="0.35">
      <c r="A8" s="15" t="s">
        <v>5</v>
      </c>
    </row>
    <row r="9" spans="1:1" x14ac:dyDescent="0.35">
      <c r="A9" s="15" t="s">
        <v>6</v>
      </c>
    </row>
    <row r="10" spans="1:1" x14ac:dyDescent="0.35">
      <c r="A10" s="15" t="s">
        <v>7</v>
      </c>
    </row>
    <row r="11" spans="1:1" x14ac:dyDescent="0.35">
      <c r="A11" s="15" t="s">
        <v>8</v>
      </c>
    </row>
    <row r="12" spans="1:1" x14ac:dyDescent="0.35">
      <c r="A12" s="15"/>
    </row>
    <row r="13" spans="1:1" x14ac:dyDescent="0.35">
      <c r="A13" s="15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0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14" customWidth="1"/>
    <col min="3" max="3" width="22" customWidth="1"/>
    <col min="4" max="5" width="14" customWidth="1"/>
    <col min="6" max="6" width="3" customWidth="1"/>
    <col min="7" max="7" width="22" customWidth="1"/>
    <col min="8" max="8" width="14" customWidth="1"/>
    <col min="9" max="9" width="16" customWidth="1"/>
  </cols>
  <sheetData>
    <row r="1" spans="1:13" ht="31.5" customHeight="1" x14ac:dyDescent="0.45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3" spans="1:13" x14ac:dyDescent="0.35">
      <c r="A3" s="16" t="s">
        <v>11</v>
      </c>
      <c r="B3" s="19" t="s">
        <v>12</v>
      </c>
    </row>
    <row r="5" spans="1:13" x14ac:dyDescent="0.35">
      <c r="A5" s="20" t="s">
        <v>13</v>
      </c>
      <c r="C5" s="20" t="s">
        <v>14</v>
      </c>
      <c r="E5" s="20" t="s">
        <v>15</v>
      </c>
      <c r="G5" s="20" t="s">
        <v>16</v>
      </c>
      <c r="I5" s="20" t="s">
        <v>17</v>
      </c>
    </row>
    <row r="6" spans="1:13" ht="20" x14ac:dyDescent="0.4">
      <c r="A6" s="21">
        <f ca="1">INDIRECT("'"&amp;$B$3&amp;"'!E3")</f>
        <v>3030</v>
      </c>
      <c r="C6" s="21">
        <f ca="1">INDIRECT("'"&amp;$B$3&amp;"'!H3")</f>
        <v>1846.23</v>
      </c>
      <c r="E6" s="21">
        <f ca="1">INDIRECT("'"&amp;$B$3&amp;"'!M3")</f>
        <v>1085</v>
      </c>
      <c r="G6" s="21">
        <f ca="1">INDIRECT("'"&amp;$B$3&amp;"'!J25")</f>
        <v>600</v>
      </c>
      <c r="I6" s="21">
        <f ca="1">INDIRECT("'"&amp;$B$3&amp;"'!N22")</f>
        <v>12097.54</v>
      </c>
    </row>
    <row r="9" spans="1:13" ht="15.5" x14ac:dyDescent="0.35">
      <c r="A9" s="22" t="s">
        <v>18</v>
      </c>
      <c r="C9" s="22" t="s">
        <v>19</v>
      </c>
      <c r="G9" s="22" t="s">
        <v>20</v>
      </c>
    </row>
    <row r="10" spans="1:13" x14ac:dyDescent="0.35">
      <c r="A10" s="23" t="s">
        <v>21</v>
      </c>
      <c r="B10" s="23" t="s">
        <v>22</v>
      </c>
      <c r="C10" s="23" t="s">
        <v>23</v>
      </c>
      <c r="D10" s="23" t="s">
        <v>24</v>
      </c>
      <c r="G10" s="23" t="s">
        <v>25</v>
      </c>
      <c r="H10" s="23" t="s">
        <v>22</v>
      </c>
    </row>
    <row r="11" spans="1:13" x14ac:dyDescent="0.35">
      <c r="A11" t="str">
        <f ca="1">INDIRECT("'"&amp;$B$3&amp;"'!E16")</f>
        <v>Salary</v>
      </c>
      <c r="B11" s="24">
        <f ca="1">INDIRECT("'"&amp;$B$3&amp;"'!F16")</f>
        <v>1350</v>
      </c>
      <c r="C11" t="str">
        <f ca="1">INDIRECT("'"&amp;$B$3&amp;"'!H16")</f>
        <v>Housing</v>
      </c>
      <c r="D11" s="24">
        <f ca="1">INDIRECT("'"&amp;$B$3&amp;"'!J16")</f>
        <v>640</v>
      </c>
      <c r="G11" t="s">
        <v>26</v>
      </c>
      <c r="H11" s="24">
        <f ca="1">C6-G6</f>
        <v>1246.23</v>
      </c>
    </row>
    <row r="12" spans="1:13" x14ac:dyDescent="0.35">
      <c r="A12" t="str">
        <f ca="1">INDIRECT("'"&amp;$B$3&amp;"'!E17")</f>
        <v>Freelance</v>
      </c>
      <c r="B12" s="24">
        <f ca="1">INDIRECT("'"&amp;$B$3&amp;"'!F17")</f>
        <v>500</v>
      </c>
      <c r="C12" t="str">
        <f ca="1">INDIRECT("'"&amp;$B$3&amp;"'!H17")</f>
        <v>Groceries</v>
      </c>
      <c r="D12" s="24">
        <f ca="1">INDIRECT("'"&amp;$B$3&amp;"'!J17")</f>
        <v>245.75</v>
      </c>
      <c r="G12" t="s">
        <v>16</v>
      </c>
      <c r="H12" s="24">
        <f ca="1">G6</f>
        <v>600</v>
      </c>
    </row>
    <row r="13" spans="1:13" x14ac:dyDescent="0.35">
      <c r="A13" t="str">
        <f ca="1">INDIRECT("'"&amp;$B$3&amp;"'!E18")</f>
        <v>Teaching</v>
      </c>
      <c r="B13" s="24">
        <f ca="1">INDIRECT("'"&amp;$B$3&amp;"'!F18")</f>
        <v>380</v>
      </c>
      <c r="C13" t="str">
        <f ca="1">INDIRECT("'"&amp;$B$3&amp;"'!H18")</f>
        <v>Eating out</v>
      </c>
      <c r="D13" s="24">
        <f ca="1">INDIRECT("'"&amp;$B$3&amp;"'!J18")</f>
        <v>75.699999999999989</v>
      </c>
      <c r="G13" t="s">
        <v>27</v>
      </c>
      <c r="H13" s="24">
        <f ca="1">A6-C6</f>
        <v>1183.77</v>
      </c>
    </row>
    <row r="14" spans="1:13" x14ac:dyDescent="0.35">
      <c r="A14" t="str">
        <f ca="1">INDIRECT("'"&amp;$B$3&amp;"'!E19")</f>
        <v>Stipend</v>
      </c>
      <c r="B14" s="24">
        <f ca="1">INDIRECT("'"&amp;$B$3&amp;"'!F19")</f>
        <v>800</v>
      </c>
      <c r="C14" t="str">
        <f ca="1">INDIRECT("'"&amp;$B$3&amp;"'!H19")</f>
        <v>Travel</v>
      </c>
      <c r="D14" s="24">
        <f ca="1">INDIRECT("'"&amp;$B$3&amp;"'!J19")</f>
        <v>54.5</v>
      </c>
      <c r="H14" s="24"/>
    </row>
    <row r="15" spans="1:13" x14ac:dyDescent="0.35">
      <c r="A15" t="str">
        <f ca="1">INDIRECT("'"&amp;$B$3&amp;"'!E20")</f>
        <v>Cash income</v>
      </c>
      <c r="B15" s="24">
        <f ca="1">INDIRECT("'"&amp;$B$3&amp;"'!F20")</f>
        <v>0</v>
      </c>
      <c r="C15" t="str">
        <f ca="1">INDIRECT("'"&amp;$B$3&amp;"'!H20")</f>
        <v>Subscriptions</v>
      </c>
      <c r="D15" s="24">
        <f ca="1">INDIRECT("'"&amp;$B$3&amp;"'!J20")</f>
        <v>29.98</v>
      </c>
      <c r="H15" s="24"/>
    </row>
    <row r="16" spans="1:13" x14ac:dyDescent="0.35">
      <c r="B16" s="24"/>
      <c r="C16" t="str">
        <f ca="1">INDIRECT("'"&amp;$B$3&amp;"'!H21")</f>
        <v>Electronics</v>
      </c>
      <c r="D16" s="24">
        <f ca="1">INDIRECT("'"&amp;$B$3&amp;"'!J21")</f>
        <v>59</v>
      </c>
      <c r="H16" s="24"/>
    </row>
    <row r="17" spans="2:8" x14ac:dyDescent="0.35">
      <c r="B17" s="24"/>
      <c r="C17" t="str">
        <f ca="1">INDIRECT("'"&amp;$B$3&amp;"'!H22")</f>
        <v>Gym</v>
      </c>
      <c r="D17" s="24">
        <f ca="1">INDIRECT("'"&amp;$B$3&amp;"'!J22")</f>
        <v>24</v>
      </c>
      <c r="H17" s="24"/>
    </row>
    <row r="18" spans="2:8" x14ac:dyDescent="0.35">
      <c r="B18" s="24"/>
      <c r="C18" t="str">
        <f ca="1">INDIRECT("'"&amp;$B$3&amp;"'!H23")</f>
        <v>Miscellaneous</v>
      </c>
      <c r="D18" s="24">
        <f ca="1">INDIRECT("'"&amp;$B$3&amp;"'!J23")</f>
        <v>37.299999999999997</v>
      </c>
      <c r="H18" s="24"/>
    </row>
    <row r="19" spans="2:8" x14ac:dyDescent="0.35">
      <c r="B19" s="24"/>
      <c r="C19" t="str">
        <f ca="1">INDIRECT("'"&amp;$B$3&amp;"'!H24")</f>
        <v>Family</v>
      </c>
      <c r="D19" s="24">
        <f ca="1">INDIRECT("'"&amp;$B$3&amp;"'!J24")</f>
        <v>80</v>
      </c>
      <c r="H19" s="24"/>
    </row>
    <row r="20" spans="2:8" x14ac:dyDescent="0.35">
      <c r="B20" s="24"/>
      <c r="D20" s="24"/>
      <c r="H20" s="24"/>
    </row>
  </sheetData>
  <dataValidations count="1">
    <dataValidation type="list" sqref="B3" xr:uid="{00000000-0002-0000-0100-000000000000}">
      <formula1>MonthList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zoomScaleNormal="100" workbookViewId="0"/>
  </sheetViews>
  <sheetFormatPr defaultColWidth="8.6328125" defaultRowHeight="14.5" x14ac:dyDescent="0.35"/>
  <cols>
    <col min="1" max="5" width="22" customWidth="1"/>
  </cols>
  <sheetData>
    <row r="1" spans="1:5" x14ac:dyDescent="0.35">
      <c r="A1" s="23" t="s">
        <v>28</v>
      </c>
      <c r="B1" s="23" t="s">
        <v>23</v>
      </c>
      <c r="C1" s="23" t="s">
        <v>29</v>
      </c>
      <c r="D1" s="23" t="s">
        <v>30</v>
      </c>
      <c r="E1" s="23" t="s">
        <v>31</v>
      </c>
    </row>
    <row r="2" spans="1:5" x14ac:dyDescent="0.35">
      <c r="A2" t="s">
        <v>32</v>
      </c>
      <c r="B2" t="s">
        <v>33</v>
      </c>
      <c r="C2" t="s">
        <v>13</v>
      </c>
      <c r="D2" t="s">
        <v>34</v>
      </c>
      <c r="E2" t="s">
        <v>35</v>
      </c>
    </row>
    <row r="3" spans="1:5" x14ac:dyDescent="0.35">
      <c r="A3" t="s">
        <v>36</v>
      </c>
      <c r="B3" t="s">
        <v>37</v>
      </c>
      <c r="C3" t="s">
        <v>38</v>
      </c>
      <c r="D3" t="s">
        <v>39</v>
      </c>
      <c r="E3" t="s">
        <v>12</v>
      </c>
    </row>
    <row r="4" spans="1:5" x14ac:dyDescent="0.35">
      <c r="B4" t="s">
        <v>40</v>
      </c>
      <c r="C4" t="s">
        <v>41</v>
      </c>
      <c r="D4" t="s">
        <v>42</v>
      </c>
    </row>
    <row r="5" spans="1:5" x14ac:dyDescent="0.35">
      <c r="B5" t="s">
        <v>43</v>
      </c>
      <c r="C5" t="s">
        <v>44</v>
      </c>
      <c r="D5" t="s">
        <v>45</v>
      </c>
    </row>
    <row r="6" spans="1:5" x14ac:dyDescent="0.35">
      <c r="B6" t="s">
        <v>46</v>
      </c>
      <c r="C6" t="s">
        <v>47</v>
      </c>
      <c r="D6" t="s">
        <v>48</v>
      </c>
    </row>
    <row r="7" spans="1:5" x14ac:dyDescent="0.35">
      <c r="B7" t="s">
        <v>49</v>
      </c>
    </row>
    <row r="8" spans="1:5" x14ac:dyDescent="0.35">
      <c r="B8" t="s">
        <v>50</v>
      </c>
    </row>
    <row r="9" spans="1:5" x14ac:dyDescent="0.35">
      <c r="B9" t="s">
        <v>51</v>
      </c>
    </row>
    <row r="10" spans="1:5" x14ac:dyDescent="0.35">
      <c r="B10" t="s">
        <v>52</v>
      </c>
    </row>
    <row r="11" spans="1:5" x14ac:dyDescent="0.35">
      <c r="B11" t="s">
        <v>53</v>
      </c>
    </row>
    <row r="12" spans="1:5" x14ac:dyDescent="0.35">
      <c r="B12" t="s">
        <v>54</v>
      </c>
    </row>
    <row r="13" spans="1:5" x14ac:dyDescent="0.35">
      <c r="B13" t="s">
        <v>55</v>
      </c>
    </row>
    <row r="14" spans="1:5" x14ac:dyDescent="0.35">
      <c r="B14" t="s">
        <v>56</v>
      </c>
    </row>
    <row r="15" spans="1:5" x14ac:dyDescent="0.35">
      <c r="B15" t="s">
        <v>57</v>
      </c>
    </row>
    <row r="16" spans="1:5" x14ac:dyDescent="0.35">
      <c r="B16" t="s">
        <v>58</v>
      </c>
    </row>
    <row r="17" spans="2:2" x14ac:dyDescent="0.35">
      <c r="B17" t="s">
        <v>59</v>
      </c>
    </row>
    <row r="18" spans="2:2" x14ac:dyDescent="0.35">
      <c r="B18" t="s">
        <v>47</v>
      </c>
    </row>
    <row r="19" spans="2:2" x14ac:dyDescent="0.35">
      <c r="B19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zoomScaleNormal="100" workbookViewId="0"/>
  </sheetViews>
  <sheetFormatPr defaultColWidth="8.6328125" defaultRowHeight="14.5" x14ac:dyDescent="0.35"/>
  <cols>
    <col min="1" max="1" width="40" customWidth="1"/>
    <col min="2" max="2" width="14" customWidth="1"/>
  </cols>
  <sheetData>
    <row r="1" spans="1:2" ht="17.5" x14ac:dyDescent="0.35">
      <c r="A1" s="14" t="s">
        <v>61</v>
      </c>
    </row>
    <row r="3" spans="1:2" x14ac:dyDescent="0.35">
      <c r="A3" t="s">
        <v>62</v>
      </c>
      <c r="B3" s="25" t="s">
        <v>63</v>
      </c>
    </row>
    <row r="4" spans="1:2" x14ac:dyDescent="0.35">
      <c r="A4" t="s">
        <v>64</v>
      </c>
      <c r="B4" s="25" t="s">
        <v>65</v>
      </c>
    </row>
    <row r="5" spans="1:2" x14ac:dyDescent="0.35">
      <c r="A5" t="s">
        <v>66</v>
      </c>
      <c r="B5" s="25">
        <v>38</v>
      </c>
    </row>
    <row r="6" spans="1:2" x14ac:dyDescent="0.35">
      <c r="A6" t="s">
        <v>67</v>
      </c>
      <c r="B6" s="25">
        <v>1.08</v>
      </c>
    </row>
    <row r="7" spans="1:2" x14ac:dyDescent="0.35">
      <c r="A7" t="s">
        <v>68</v>
      </c>
      <c r="B7" s="25">
        <v>0.85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Y238"/>
  <sheetViews>
    <sheetView showGridLines="0" zoomScale="66" zoomScaleNormal="85" workbookViewId="0">
      <selection activeCell="M58" sqref="M58"/>
    </sheetView>
  </sheetViews>
  <sheetFormatPr defaultColWidth="8.6328125" defaultRowHeight="14.5" x14ac:dyDescent="0.35"/>
  <cols>
    <col min="1" max="1" width="13" customWidth="1"/>
    <col min="2" max="2" width="28" customWidth="1"/>
    <col min="3" max="3" width="13" customWidth="1"/>
    <col min="4" max="5" width="20" customWidth="1"/>
    <col min="6" max="7" width="16" customWidth="1"/>
    <col min="8" max="8" width="22" customWidth="1"/>
    <col min="9" max="10" width="12" customWidth="1"/>
    <col min="11" max="12" width="16" customWidth="1"/>
    <col min="13" max="13" width="26" customWidth="1"/>
    <col min="14" max="14" width="16" customWidth="1"/>
  </cols>
  <sheetData>
    <row r="2" spans="2:25" ht="21.5" x14ac:dyDescent="0.35">
      <c r="B2" s="13" t="s">
        <v>35</v>
      </c>
      <c r="C2" s="13"/>
      <c r="E2" s="12" t="s">
        <v>13</v>
      </c>
      <c r="F2" s="12"/>
      <c r="H2" s="11" t="s">
        <v>26</v>
      </c>
      <c r="I2" s="11"/>
      <c r="J2" s="11"/>
      <c r="K2" s="11"/>
      <c r="M2" s="10" t="s">
        <v>15</v>
      </c>
      <c r="N2" s="10"/>
    </row>
    <row r="3" spans="2:25" ht="21" x14ac:dyDescent="0.35">
      <c r="B3" s="13"/>
      <c r="C3" s="13"/>
      <c r="E3" s="9">
        <f>F28</f>
        <v>2950</v>
      </c>
      <c r="F3" s="9"/>
      <c r="H3" s="8">
        <f>J28</f>
        <v>1846.23</v>
      </c>
      <c r="I3" s="8"/>
      <c r="J3" s="8"/>
      <c r="K3" s="8"/>
      <c r="M3" s="7">
        <f>F28-I28</f>
        <v>1005</v>
      </c>
      <c r="N3" s="7"/>
      <c r="X3" s="26" t="s">
        <v>69</v>
      </c>
      <c r="Y3" s="26" t="s">
        <v>22</v>
      </c>
    </row>
    <row r="4" spans="2:25" x14ac:dyDescent="0.35">
      <c r="B4" s="13"/>
      <c r="C4" s="13"/>
      <c r="M4" s="7"/>
      <c r="N4" s="7"/>
      <c r="X4" t="s">
        <v>70</v>
      </c>
      <c r="Y4" s="24">
        <f>N17</f>
        <v>1500</v>
      </c>
    </row>
    <row r="5" spans="2:25" ht="21.75" customHeight="1" x14ac:dyDescent="0.35">
      <c r="E5" s="27" t="s">
        <v>22</v>
      </c>
      <c r="F5" s="28"/>
      <c r="H5" s="29" t="s">
        <v>24</v>
      </c>
      <c r="I5" s="30"/>
      <c r="J5" s="30"/>
      <c r="K5" s="30"/>
      <c r="X5" t="s">
        <v>13</v>
      </c>
      <c r="Y5" s="24">
        <f>F28</f>
        <v>2950</v>
      </c>
    </row>
    <row r="6" spans="2:25" ht="21.75" customHeight="1" x14ac:dyDescent="0.35">
      <c r="B6" s="6" t="s">
        <v>71</v>
      </c>
      <c r="C6" s="6"/>
      <c r="E6" s="28"/>
      <c r="F6" s="28"/>
      <c r="H6" s="30"/>
      <c r="I6" s="30"/>
      <c r="J6" s="30"/>
      <c r="K6" s="30"/>
      <c r="M6" s="5" t="s">
        <v>72</v>
      </c>
      <c r="N6" s="5"/>
      <c r="X6" t="s">
        <v>26</v>
      </c>
      <c r="Y6" s="24">
        <f>J28</f>
        <v>1846.23</v>
      </c>
    </row>
    <row r="7" spans="2:25" ht="21.75" customHeight="1" x14ac:dyDescent="0.35">
      <c r="B7" s="31"/>
      <c r="C7" s="31"/>
      <c r="E7" s="28"/>
      <c r="F7" s="28"/>
      <c r="H7" s="30"/>
      <c r="I7" s="30"/>
      <c r="J7" s="30"/>
      <c r="K7" s="30"/>
      <c r="M7" s="4">
        <f>N17+N18+N19</f>
        <v>7300</v>
      </c>
      <c r="N7" s="4"/>
      <c r="X7" t="s">
        <v>73</v>
      </c>
      <c r="Y7" s="24">
        <f>M7</f>
        <v>7300</v>
      </c>
    </row>
    <row r="8" spans="2:25" ht="21.75" customHeight="1" x14ac:dyDescent="0.35">
      <c r="B8" s="31"/>
      <c r="C8" s="31"/>
      <c r="E8" s="28"/>
      <c r="F8" s="28"/>
      <c r="H8" s="30"/>
      <c r="I8" s="30"/>
      <c r="J8" s="30"/>
      <c r="K8" s="30"/>
      <c r="M8" s="4"/>
      <c r="N8" s="4"/>
    </row>
    <row r="9" spans="2:25" ht="21.75" customHeight="1" x14ac:dyDescent="0.35">
      <c r="B9" s="31"/>
      <c r="C9" s="31"/>
      <c r="E9" s="28"/>
      <c r="F9" s="28"/>
      <c r="H9" s="30"/>
      <c r="I9" s="30"/>
      <c r="J9" s="30"/>
      <c r="K9" s="30"/>
    </row>
    <row r="10" spans="2:25" ht="21.75" customHeight="1" x14ac:dyDescent="0.35">
      <c r="B10" s="31"/>
      <c r="C10" s="31"/>
      <c r="E10" s="28"/>
      <c r="F10" s="28"/>
      <c r="H10" s="30"/>
      <c r="I10" s="30"/>
      <c r="J10" s="30"/>
      <c r="K10" s="30"/>
      <c r="M10" s="3" t="s">
        <v>70</v>
      </c>
      <c r="N10" s="3"/>
    </row>
    <row r="11" spans="2:25" ht="21.75" customHeight="1" x14ac:dyDescent="0.35">
      <c r="B11" s="31"/>
      <c r="C11" s="31"/>
      <c r="E11" s="28"/>
      <c r="F11" s="28"/>
      <c r="H11" s="30"/>
      <c r="I11" s="30"/>
      <c r="J11" s="30"/>
      <c r="K11" s="30"/>
      <c r="M11" s="2">
        <f>N17</f>
        <v>1500</v>
      </c>
      <c r="N11" s="2"/>
    </row>
    <row r="12" spans="2:25" ht="21.75" customHeight="1" x14ac:dyDescent="0.35">
      <c r="B12" s="31"/>
      <c r="C12" s="31"/>
      <c r="E12" s="28"/>
      <c r="F12" s="28"/>
      <c r="H12" s="30"/>
      <c r="I12" s="30"/>
      <c r="J12" s="30"/>
      <c r="K12" s="30"/>
      <c r="M12" s="2"/>
      <c r="N12" s="2"/>
    </row>
    <row r="13" spans="2:25" ht="21.75" customHeight="1" x14ac:dyDescent="0.35"/>
    <row r="15" spans="2:25" x14ac:dyDescent="0.35">
      <c r="B15" s="1" t="s">
        <v>74</v>
      </c>
      <c r="C15" s="1"/>
      <c r="E15" s="32" t="s">
        <v>23</v>
      </c>
      <c r="F15" s="32" t="s">
        <v>22</v>
      </c>
      <c r="H15" s="33" t="s">
        <v>23</v>
      </c>
      <c r="I15" s="33" t="s">
        <v>75</v>
      </c>
      <c r="J15" s="34" t="s">
        <v>24</v>
      </c>
      <c r="K15" s="35" t="s">
        <v>76</v>
      </c>
      <c r="M15" s="36" t="s">
        <v>30</v>
      </c>
      <c r="N15" s="36" t="s">
        <v>77</v>
      </c>
    </row>
    <row r="16" spans="2:25" x14ac:dyDescent="0.35">
      <c r="B16" s="37" t="s">
        <v>78</v>
      </c>
      <c r="C16" s="38" t="s">
        <v>79</v>
      </c>
      <c r="E16" t="s">
        <v>53</v>
      </c>
      <c r="F16" s="39">
        <f>SUMIFS($E$39:$E$238,$D$39:$D$238,E16,$F$39:$F$238,"Income",$C$39:$C$238,"Completed")</f>
        <v>1350</v>
      </c>
      <c r="H16" t="s">
        <v>33</v>
      </c>
      <c r="I16" s="40">
        <v>640</v>
      </c>
      <c r="J16" s="39">
        <f t="shared" ref="J16:J24" si="0">SUMIFS($E$39:$E$238,$D$39:$D$238,H16,$F$39:$F$238,"Expense",$C$39:$C$238,"Completed")</f>
        <v>640</v>
      </c>
      <c r="K16" s="39">
        <f t="shared" ref="K16:K25" si="1">I16-J16</f>
        <v>0</v>
      </c>
      <c r="M16" t="s">
        <v>34</v>
      </c>
      <c r="N16" s="39">
        <f>SUMIFS($E$39:$E$238,$G$39:$G$238,M16,$F$39:$F$238,"Opening balance",$C$39:$C$238,"Completed")+SUMIFS($E$39:$E$238,$G$39:$G$238,M16,$F$39:$F$238,"Income",$C$39:$C$238,"Completed")+SUMIFS($E$39:$E$238,$G$39:$G$238,M16,$F$39:$F$238,"Transfer In",$C$39:$C$238,"Completed")-SUMIFS($E$39:$E$238,$G$39:$G$238,M16,$F$39:$F$238,"Expense",$C$39:$C$238,"Completed")-SUMIFS($E$39:$E$238,$G$39:$G$238,M16,$F$39:$F$238,"Transfer Out",$C$39:$C$238,"Completed")</f>
        <v>2918.2700000000004</v>
      </c>
    </row>
    <row r="17" spans="2:14" x14ac:dyDescent="0.35">
      <c r="B17" s="37" t="s">
        <v>78</v>
      </c>
      <c r="C17" s="38" t="s">
        <v>80</v>
      </c>
      <c r="E17" t="s">
        <v>54</v>
      </c>
      <c r="F17" s="39">
        <f>SUMIFS($E$39:$E$238,$D$39:$D$238,E17,$F$39:$F$238,"Income",$C$39:$C$238,"Completed")</f>
        <v>420</v>
      </c>
      <c r="H17" t="s">
        <v>37</v>
      </c>
      <c r="I17" s="40">
        <v>260</v>
      </c>
      <c r="J17" s="39">
        <f t="shared" si="0"/>
        <v>245.75</v>
      </c>
      <c r="K17" s="39">
        <f t="shared" si="1"/>
        <v>14.25</v>
      </c>
      <c r="M17" t="s">
        <v>39</v>
      </c>
      <c r="N17" s="39">
        <f>SUMIFS($E$39:$E$238,$G$39:$G$238,M17,$F$39:$F$238,"Opening balance",$C$39:$C$238,"Completed")+SUMIFS($E$39:$E$238,$G$39:$G$238,M17,$F$39:$F$238,"Income",$C$39:$C$238,"Completed")+SUMIFS($E$39:$E$238,$G$39:$G$238,M17,$F$39:$F$238,"Transfer In",$C$39:$C$238,"Completed")-SUMIFS($E$39:$E$238,$G$39:$G$238,M17,$F$39:$F$238,"Expense",$C$39:$C$238,"Completed")-SUMIFS($E$39:$E$238,$G$39:$G$238,M17,$F$39:$F$238,"Transfer Out",$C$39:$C$238,"Completed")</f>
        <v>1500</v>
      </c>
    </row>
    <row r="18" spans="2:14" x14ac:dyDescent="0.35">
      <c r="B18" s="37" t="s">
        <v>78</v>
      </c>
      <c r="C18" s="38" t="s">
        <v>81</v>
      </c>
      <c r="E18" t="s">
        <v>55</v>
      </c>
      <c r="F18" s="39">
        <f>SUMIFS($E$39:$E$238,$D$39:$D$238,E18,$F$39:$F$238,"Income",$C$39:$C$238,"Completed")</f>
        <v>380</v>
      </c>
      <c r="H18" t="s">
        <v>40</v>
      </c>
      <c r="I18" s="40">
        <v>70</v>
      </c>
      <c r="J18" s="39">
        <f t="shared" si="0"/>
        <v>75.699999999999989</v>
      </c>
      <c r="K18" s="39">
        <f t="shared" si="1"/>
        <v>-5.6999999999999886</v>
      </c>
      <c r="M18" t="s">
        <v>42</v>
      </c>
      <c r="N18" s="39">
        <f>SUMIFS($E$39:$E$238,$G$39:$G$238,M18,$F$39:$F$238,"Opening balance",$C$39:$C$238,"Completed")+SUMIFS($E$39:$E$238,$G$39:$G$238,M18,$F$39:$F$238,"Income",$C$39:$C$238,"Completed")+SUMIFS($E$39:$E$238,$G$39:$G$238,M18,$F$39:$F$238,"Transfer In",$C$39:$C$238,"Completed")-SUMIFS($E$39:$E$238,$G$39:$G$238,M18,$F$39:$F$238,"Expense",$C$39:$C$238,"Completed")-SUMIFS($E$39:$E$238,$G$39:$G$238,M18,$F$39:$F$238,"Transfer Out",$C$39:$C$238,"Completed")</f>
        <v>3100</v>
      </c>
    </row>
    <row r="19" spans="2:14" x14ac:dyDescent="0.35">
      <c r="B19" s="37" t="s">
        <v>78</v>
      </c>
      <c r="C19" s="41"/>
      <c r="E19" t="s">
        <v>56</v>
      </c>
      <c r="F19" s="39">
        <f>SUMIFS($E$39:$E$238,$D$39:$D$238,E19,$F$39:$F$238,"Income",$C$39:$C$238,"Completed")</f>
        <v>800</v>
      </c>
      <c r="H19" t="s">
        <v>43</v>
      </c>
      <c r="I19" s="40">
        <v>70</v>
      </c>
      <c r="J19" s="39">
        <f t="shared" si="0"/>
        <v>54.5</v>
      </c>
      <c r="K19" s="39">
        <f t="shared" si="1"/>
        <v>15.5</v>
      </c>
      <c r="M19" t="s">
        <v>45</v>
      </c>
      <c r="N19" s="39">
        <f>SUMIFS($E$39:$E$238,$G$39:$G$238,M19,$F$39:$F$238,"Opening balance",$C$39:$C$238,"Completed")+SUMIFS($E$39:$E$238,$G$39:$G$238,M19,$F$39:$F$238,"Income",$C$39:$C$238,"Completed")+SUMIFS($E$39:$E$238,$G$39:$G$238,M19,$F$39:$F$238,"Transfer In",$C$39:$C$238,"Completed")-SUMIFS($E$39:$E$238,$G$39:$G$238,M19,$F$39:$F$238,"Expense",$C$39:$C$238,"Completed")-SUMIFS($E$39:$E$238,$G$39:$G$238,M19,$F$39:$F$238,"Transfer Out",$C$39:$C$238,"Completed")</f>
        <v>2700</v>
      </c>
    </row>
    <row r="20" spans="2:14" x14ac:dyDescent="0.35">
      <c r="B20" s="37" t="s">
        <v>78</v>
      </c>
      <c r="C20" s="41"/>
      <c r="E20" t="s">
        <v>60</v>
      </c>
      <c r="F20" s="39">
        <f>SUMIFS($E$39:$E$238,$D$39:$D$238,E20,$F$39:$F$238,"Income",$C$39:$C$238,"Completed")</f>
        <v>0</v>
      </c>
      <c r="H20" t="s">
        <v>46</v>
      </c>
      <c r="I20" s="40">
        <v>40</v>
      </c>
      <c r="J20" s="39">
        <f t="shared" si="0"/>
        <v>29.98</v>
      </c>
      <c r="K20" s="39">
        <f t="shared" si="1"/>
        <v>10.02</v>
      </c>
      <c r="M20" t="s">
        <v>48</v>
      </c>
      <c r="N20" s="39">
        <f>SUMIFS($E$39:$E$238,$G$39:$G$238,M20,$F$39:$F$238,"Opening balance",$C$39:$C$238,"Completed")+SUMIFS($E$39:$E$238,$G$39:$G$238,M20,$F$39:$F$238,"Income",$C$39:$C$238,"Completed")+SUMIFS($E$39:$E$238,$G$39:$G$238,M20,$F$39:$F$238,"Transfer In",$C$39:$C$238,"Completed")-SUMIFS($E$39:$E$238,$G$39:$G$238,M20,$F$39:$F$238,"Expense",$C$39:$C$238,"Completed")-SUMIFS($E$39:$E$238,$G$39:$G$238,M20,$F$39:$F$238,"Transfer Out",$C$39:$C$238,"Completed")</f>
        <v>95.5</v>
      </c>
    </row>
    <row r="21" spans="2:14" x14ac:dyDescent="0.35">
      <c r="B21" s="37" t="s">
        <v>78</v>
      </c>
      <c r="C21" s="41"/>
      <c r="F21" s="39"/>
      <c r="H21" t="s">
        <v>49</v>
      </c>
      <c r="I21" s="40">
        <v>80</v>
      </c>
      <c r="J21" s="39">
        <f t="shared" si="0"/>
        <v>59</v>
      </c>
      <c r="K21" s="39">
        <f t="shared" si="1"/>
        <v>21</v>
      </c>
      <c r="N21" s="39"/>
    </row>
    <row r="22" spans="2:14" x14ac:dyDescent="0.35">
      <c r="B22" s="37" t="s">
        <v>78</v>
      </c>
      <c r="C22" s="41"/>
      <c r="F22" s="39"/>
      <c r="H22" t="s">
        <v>50</v>
      </c>
      <c r="I22" s="40">
        <v>25</v>
      </c>
      <c r="J22" s="39">
        <f t="shared" si="0"/>
        <v>24</v>
      </c>
      <c r="K22" s="39">
        <f t="shared" si="1"/>
        <v>1</v>
      </c>
      <c r="M22" s="42" t="s">
        <v>17</v>
      </c>
      <c r="N22" s="43">
        <f>SUM(N16:N20)</f>
        <v>10313.77</v>
      </c>
    </row>
    <row r="23" spans="2:14" x14ac:dyDescent="0.35">
      <c r="B23" s="37" t="s">
        <v>78</v>
      </c>
      <c r="C23" s="41"/>
      <c r="F23" s="39"/>
      <c r="H23" t="s">
        <v>51</v>
      </c>
      <c r="I23" s="40">
        <v>60</v>
      </c>
      <c r="J23" s="39">
        <f t="shared" si="0"/>
        <v>37.299999999999997</v>
      </c>
      <c r="K23" s="39">
        <f t="shared" si="1"/>
        <v>22.700000000000003</v>
      </c>
      <c r="N23" s="39"/>
    </row>
    <row r="24" spans="2:14" x14ac:dyDescent="0.35">
      <c r="B24" s="37" t="s">
        <v>78</v>
      </c>
      <c r="C24" s="41"/>
      <c r="F24" s="39"/>
      <c r="H24" t="s">
        <v>52</v>
      </c>
      <c r="I24" s="40">
        <v>100</v>
      </c>
      <c r="J24" s="39">
        <f t="shared" si="0"/>
        <v>80</v>
      </c>
      <c r="K24" s="39">
        <f t="shared" si="1"/>
        <v>20</v>
      </c>
      <c r="N24" s="39"/>
    </row>
    <row r="25" spans="2:14" x14ac:dyDescent="0.35">
      <c r="B25" s="37" t="s">
        <v>78</v>
      </c>
      <c r="C25" s="41"/>
      <c r="F25" s="39"/>
      <c r="H25" t="s">
        <v>82</v>
      </c>
      <c r="I25" s="40">
        <v>600</v>
      </c>
      <c r="J25" s="39">
        <f>SUMIFS($E$39:$E$238,$D$39:$D$238,"Savings transfer",$F$39:$F$238,"Transfer Out",$C$39:$C$238,"Completed")+SUMIFS($E$39:$E$238,$D$39:$D$238,"Investment transfer",$F$39:$F$238,"Transfer Out",$C$39:$C$238,"Completed")</f>
        <v>600</v>
      </c>
      <c r="K25" s="39">
        <f t="shared" si="1"/>
        <v>0</v>
      </c>
      <c r="N25" s="39"/>
    </row>
    <row r="26" spans="2:14" x14ac:dyDescent="0.35">
      <c r="B26" s="37" t="s">
        <v>78</v>
      </c>
      <c r="C26" s="41"/>
      <c r="F26" s="39"/>
      <c r="I26" s="39"/>
      <c r="J26" s="39"/>
      <c r="K26" s="39"/>
      <c r="N26" s="39"/>
    </row>
    <row r="27" spans="2:14" x14ac:dyDescent="0.35">
      <c r="B27" s="37" t="s">
        <v>78</v>
      </c>
      <c r="C27" s="41"/>
      <c r="E27" t="s">
        <v>83</v>
      </c>
      <c r="F27" s="39">
        <f>F28-I28</f>
        <v>1005</v>
      </c>
      <c r="I27" s="39"/>
      <c r="J27" s="39"/>
      <c r="K27" s="39"/>
      <c r="N27" s="39"/>
    </row>
    <row r="28" spans="2:14" x14ac:dyDescent="0.35">
      <c r="B28" s="37" t="s">
        <v>78</v>
      </c>
      <c r="C28" s="41"/>
      <c r="E28" s="44" t="s">
        <v>84</v>
      </c>
      <c r="F28" s="45">
        <f>SUM(F16:F26)</f>
        <v>2950</v>
      </c>
      <c r="H28" s="44" t="s">
        <v>84</v>
      </c>
      <c r="I28" s="45">
        <f>SUM(I16:I27)</f>
        <v>1945</v>
      </c>
      <c r="J28" s="45">
        <f>SUM(J16:J27)</f>
        <v>1846.23</v>
      </c>
      <c r="K28" s="45">
        <f>SUM(K16:K27)</f>
        <v>98.77000000000001</v>
      </c>
      <c r="M28" s="46"/>
      <c r="N28" s="47"/>
    </row>
    <row r="33" spans="1:14" x14ac:dyDescent="0.35">
      <c r="A33" s="42" t="s">
        <v>84</v>
      </c>
      <c r="B33" s="48">
        <f>N22</f>
        <v>10313.77</v>
      </c>
      <c r="C33" s="49">
        <f>N22*USD_Rate</f>
        <v>11138.8716</v>
      </c>
      <c r="D33" s="50">
        <f>N22*GBP_Rate</f>
        <v>8766.7044999999998</v>
      </c>
      <c r="E33" s="51">
        <f>N22*FX_Rate</f>
        <v>391923.26</v>
      </c>
    </row>
    <row r="38" spans="1:14" ht="15.5" x14ac:dyDescent="0.35">
      <c r="A38" s="52" t="s">
        <v>85</v>
      </c>
      <c r="B38" s="52" t="s">
        <v>86</v>
      </c>
      <c r="C38" s="52" t="s">
        <v>28</v>
      </c>
      <c r="D38" s="52" t="s">
        <v>23</v>
      </c>
      <c r="E38" s="52" t="s">
        <v>22</v>
      </c>
      <c r="F38" s="52" t="s">
        <v>29</v>
      </c>
      <c r="G38" s="52" t="s">
        <v>30</v>
      </c>
      <c r="H38" s="52" t="s">
        <v>87</v>
      </c>
      <c r="J38" s="53" t="s">
        <v>88</v>
      </c>
    </row>
    <row r="39" spans="1:14" x14ac:dyDescent="0.35">
      <c r="A39" s="54">
        <v>46022</v>
      </c>
      <c r="B39" s="25" t="s">
        <v>89</v>
      </c>
      <c r="C39" s="25" t="s">
        <v>32</v>
      </c>
      <c r="D39" s="25" t="s">
        <v>47</v>
      </c>
      <c r="E39" s="40">
        <v>1850</v>
      </c>
      <c r="F39" s="25" t="s">
        <v>47</v>
      </c>
      <c r="G39" s="25" t="s">
        <v>34</v>
      </c>
      <c r="H39" s="25"/>
      <c r="J39" s="23" t="s">
        <v>90</v>
      </c>
      <c r="K39" s="23" t="s">
        <v>91</v>
      </c>
      <c r="L39" s="23" t="s">
        <v>92</v>
      </c>
      <c r="M39" s="23" t="s">
        <v>93</v>
      </c>
      <c r="N39" s="23" t="s">
        <v>94</v>
      </c>
    </row>
    <row r="40" spans="1:14" x14ac:dyDescent="0.35">
      <c r="A40" s="54">
        <v>46022</v>
      </c>
      <c r="B40" s="25" t="s">
        <v>95</v>
      </c>
      <c r="C40" s="25" t="s">
        <v>32</v>
      </c>
      <c r="D40" s="25" t="s">
        <v>47</v>
      </c>
      <c r="E40" s="40">
        <v>1200</v>
      </c>
      <c r="F40" s="25" t="s">
        <v>47</v>
      </c>
      <c r="G40" s="25" t="s">
        <v>39</v>
      </c>
      <c r="H40" s="25"/>
      <c r="J40" s="25" t="s">
        <v>96</v>
      </c>
      <c r="K40" s="25" t="s">
        <v>97</v>
      </c>
      <c r="L40" s="25"/>
      <c r="M40" s="55">
        <v>45</v>
      </c>
      <c r="N40" s="25" t="s">
        <v>98</v>
      </c>
    </row>
    <row r="41" spans="1:14" x14ac:dyDescent="0.35">
      <c r="A41" s="54">
        <v>46022</v>
      </c>
      <c r="B41" s="25" t="s">
        <v>99</v>
      </c>
      <c r="C41" s="25" t="s">
        <v>32</v>
      </c>
      <c r="D41" s="25" t="s">
        <v>47</v>
      </c>
      <c r="E41" s="40">
        <v>3000</v>
      </c>
      <c r="F41" s="25" t="s">
        <v>47</v>
      </c>
      <c r="G41" s="25" t="s">
        <v>42</v>
      </c>
      <c r="H41" s="25"/>
      <c r="J41" s="25" t="s">
        <v>100</v>
      </c>
      <c r="K41" s="25" t="s">
        <v>101</v>
      </c>
      <c r="L41" s="25"/>
      <c r="M41" s="55">
        <v>12.5</v>
      </c>
      <c r="N41" s="25" t="s">
        <v>102</v>
      </c>
    </row>
    <row r="42" spans="1:14" x14ac:dyDescent="0.35">
      <c r="A42" s="54">
        <v>46022</v>
      </c>
      <c r="B42" s="25" t="s">
        <v>103</v>
      </c>
      <c r="C42" s="25" t="s">
        <v>32</v>
      </c>
      <c r="D42" s="25" t="s">
        <v>47</v>
      </c>
      <c r="E42" s="40">
        <v>2500</v>
      </c>
      <c r="F42" s="25" t="s">
        <v>47</v>
      </c>
      <c r="G42" s="25" t="s">
        <v>45</v>
      </c>
      <c r="H42" s="25"/>
      <c r="J42" s="25" t="s">
        <v>104</v>
      </c>
      <c r="K42" s="25" t="s">
        <v>105</v>
      </c>
      <c r="L42" s="25"/>
      <c r="M42" s="55">
        <v>30</v>
      </c>
      <c r="N42" s="25" t="s">
        <v>98</v>
      </c>
    </row>
    <row r="43" spans="1:14" x14ac:dyDescent="0.35">
      <c r="A43" s="54">
        <v>46022</v>
      </c>
      <c r="B43" s="25" t="s">
        <v>106</v>
      </c>
      <c r="C43" s="25" t="s">
        <v>32</v>
      </c>
      <c r="D43" s="25" t="s">
        <v>47</v>
      </c>
      <c r="E43" s="40">
        <v>60</v>
      </c>
      <c r="F43" s="25" t="s">
        <v>47</v>
      </c>
      <c r="G43" s="25" t="s">
        <v>48</v>
      </c>
      <c r="H43" s="25"/>
      <c r="J43" s="25" t="s">
        <v>107</v>
      </c>
      <c r="K43" s="25" t="s">
        <v>108</v>
      </c>
      <c r="L43" s="25" t="s">
        <v>109</v>
      </c>
      <c r="M43" s="55">
        <v>26.25</v>
      </c>
      <c r="N43" s="25" t="s">
        <v>98</v>
      </c>
    </row>
    <row r="44" spans="1:14" x14ac:dyDescent="0.35">
      <c r="A44" s="54">
        <v>46023</v>
      </c>
      <c r="B44" s="25" t="s">
        <v>110</v>
      </c>
      <c r="C44" s="25" t="s">
        <v>32</v>
      </c>
      <c r="D44" s="25" t="s">
        <v>33</v>
      </c>
      <c r="E44" s="40">
        <v>640</v>
      </c>
      <c r="F44" s="25" t="s">
        <v>38</v>
      </c>
      <c r="G44" s="25" t="s">
        <v>34</v>
      </c>
      <c r="H44" s="25" t="s">
        <v>111</v>
      </c>
    </row>
    <row r="45" spans="1:14" x14ac:dyDescent="0.35">
      <c r="A45" s="54">
        <v>46023</v>
      </c>
      <c r="B45" s="25" t="s">
        <v>112</v>
      </c>
      <c r="C45" s="25" t="s">
        <v>32</v>
      </c>
      <c r="D45" s="25" t="s">
        <v>43</v>
      </c>
      <c r="E45" s="40">
        <v>30</v>
      </c>
      <c r="F45" s="25" t="s">
        <v>38</v>
      </c>
      <c r="G45" s="25" t="s">
        <v>34</v>
      </c>
      <c r="H45" s="25"/>
    </row>
    <row r="46" spans="1:14" x14ac:dyDescent="0.35">
      <c r="A46" s="54">
        <v>46024</v>
      </c>
      <c r="B46" s="25" t="s">
        <v>113</v>
      </c>
      <c r="C46" s="25" t="s">
        <v>32</v>
      </c>
      <c r="D46" s="25" t="s">
        <v>37</v>
      </c>
      <c r="E46" s="40">
        <v>32.4</v>
      </c>
      <c r="F46" s="25" t="s">
        <v>38</v>
      </c>
      <c r="G46" s="25" t="s">
        <v>34</v>
      </c>
      <c r="H46" s="25"/>
    </row>
    <row r="47" spans="1:14" x14ac:dyDescent="0.35">
      <c r="A47" s="54">
        <v>46024</v>
      </c>
      <c r="B47" s="25" t="s">
        <v>114</v>
      </c>
      <c r="C47" s="25" t="s">
        <v>32</v>
      </c>
      <c r="D47" s="25" t="s">
        <v>46</v>
      </c>
      <c r="E47" s="40">
        <v>11.99</v>
      </c>
      <c r="F47" s="25" t="s">
        <v>38</v>
      </c>
      <c r="G47" s="25" t="s">
        <v>34</v>
      </c>
      <c r="H47" s="25"/>
    </row>
    <row r="48" spans="1:14" x14ac:dyDescent="0.35">
      <c r="A48" s="54">
        <v>46024</v>
      </c>
      <c r="B48" s="25" t="s">
        <v>115</v>
      </c>
      <c r="C48" s="25" t="s">
        <v>32</v>
      </c>
      <c r="D48" s="25" t="s">
        <v>46</v>
      </c>
      <c r="E48" s="40">
        <v>2.99</v>
      </c>
      <c r="F48" s="25" t="s">
        <v>38</v>
      </c>
      <c r="G48" s="25" t="s">
        <v>34</v>
      </c>
      <c r="H48" s="25"/>
    </row>
    <row r="49" spans="1:13" x14ac:dyDescent="0.35">
      <c r="A49" s="54">
        <v>46025</v>
      </c>
      <c r="B49" s="25" t="s">
        <v>116</v>
      </c>
      <c r="C49" s="25" t="s">
        <v>32</v>
      </c>
      <c r="D49" s="25" t="s">
        <v>56</v>
      </c>
      <c r="E49" s="40">
        <v>800</v>
      </c>
      <c r="F49" s="25" t="s">
        <v>13</v>
      </c>
      <c r="G49" s="25" t="s">
        <v>34</v>
      </c>
      <c r="H49" s="25"/>
    </row>
    <row r="50" spans="1:13" x14ac:dyDescent="0.35">
      <c r="A50" s="54">
        <v>46025</v>
      </c>
      <c r="B50" s="25" t="s">
        <v>117</v>
      </c>
      <c r="C50" s="25" t="s">
        <v>32</v>
      </c>
      <c r="D50" s="25" t="s">
        <v>50</v>
      </c>
      <c r="E50" s="40">
        <v>24</v>
      </c>
      <c r="F50" s="25" t="s">
        <v>38</v>
      </c>
      <c r="G50" s="25" t="s">
        <v>34</v>
      </c>
      <c r="H50" s="25"/>
      <c r="J50" s="42" t="s">
        <v>118</v>
      </c>
      <c r="M50" s="43">
        <f>SUMIF(N40:N49,"No",M40:M49)</f>
        <v>101.25</v>
      </c>
    </row>
    <row r="51" spans="1:13" x14ac:dyDescent="0.35">
      <c r="A51" s="54">
        <v>46026</v>
      </c>
      <c r="B51" s="25" t="s">
        <v>119</v>
      </c>
      <c r="C51" s="25" t="s">
        <v>32</v>
      </c>
      <c r="D51" s="25" t="s">
        <v>40</v>
      </c>
      <c r="E51" s="40">
        <v>15.8</v>
      </c>
      <c r="F51" s="25" t="s">
        <v>38</v>
      </c>
      <c r="G51" s="25" t="s">
        <v>34</v>
      </c>
      <c r="H51" s="25"/>
    </row>
    <row r="52" spans="1:13" x14ac:dyDescent="0.35">
      <c r="A52" s="54">
        <v>46027</v>
      </c>
      <c r="B52" s="25" t="s">
        <v>120</v>
      </c>
      <c r="C52" s="25" t="s">
        <v>32</v>
      </c>
      <c r="D52" s="25" t="s">
        <v>53</v>
      </c>
      <c r="E52" s="40">
        <v>1350</v>
      </c>
      <c r="F52" s="25" t="s">
        <v>13</v>
      </c>
      <c r="G52" s="25" t="s">
        <v>34</v>
      </c>
      <c r="H52" s="25"/>
    </row>
    <row r="53" spans="1:13" x14ac:dyDescent="0.35">
      <c r="A53" s="54">
        <v>46028</v>
      </c>
      <c r="B53" s="25" t="s">
        <v>113</v>
      </c>
      <c r="C53" s="25" t="s">
        <v>32</v>
      </c>
      <c r="D53" s="25" t="s">
        <v>37</v>
      </c>
      <c r="E53" s="40">
        <v>18.75</v>
      </c>
      <c r="F53" s="25" t="s">
        <v>38</v>
      </c>
      <c r="G53" s="25" t="s">
        <v>34</v>
      </c>
      <c r="H53" s="25"/>
    </row>
    <row r="54" spans="1:13" x14ac:dyDescent="0.35">
      <c r="A54" s="54">
        <v>46028</v>
      </c>
      <c r="B54" s="25" t="s">
        <v>59</v>
      </c>
      <c r="C54" s="25" t="s">
        <v>32</v>
      </c>
      <c r="D54" s="25" t="s">
        <v>59</v>
      </c>
      <c r="E54" s="40">
        <v>50</v>
      </c>
      <c r="F54" s="25" t="s">
        <v>44</v>
      </c>
      <c r="G54" s="25" t="s">
        <v>34</v>
      </c>
      <c r="H54" s="25"/>
    </row>
    <row r="55" spans="1:13" x14ac:dyDescent="0.35">
      <c r="A55" s="54">
        <v>46028</v>
      </c>
      <c r="B55" s="25" t="s">
        <v>59</v>
      </c>
      <c r="C55" s="25" t="s">
        <v>32</v>
      </c>
      <c r="D55" s="25" t="s">
        <v>59</v>
      </c>
      <c r="E55" s="40">
        <v>50</v>
      </c>
      <c r="F55" s="25" t="s">
        <v>41</v>
      </c>
      <c r="G55" s="25" t="s">
        <v>48</v>
      </c>
      <c r="H55" s="25"/>
    </row>
    <row r="56" spans="1:13" x14ac:dyDescent="0.35">
      <c r="A56" s="54">
        <v>46029</v>
      </c>
      <c r="B56" s="25" t="s">
        <v>121</v>
      </c>
      <c r="C56" s="25" t="s">
        <v>32</v>
      </c>
      <c r="D56" s="25" t="s">
        <v>46</v>
      </c>
      <c r="E56" s="40">
        <v>15</v>
      </c>
      <c r="F56" s="25" t="s">
        <v>38</v>
      </c>
      <c r="G56" s="25" t="s">
        <v>34</v>
      </c>
      <c r="H56" s="25"/>
    </row>
    <row r="57" spans="1:13" x14ac:dyDescent="0.35">
      <c r="A57" s="54">
        <v>46030</v>
      </c>
      <c r="B57" s="25" t="s">
        <v>122</v>
      </c>
      <c r="C57" s="25" t="s">
        <v>32</v>
      </c>
      <c r="D57" s="25" t="s">
        <v>52</v>
      </c>
      <c r="E57" s="40">
        <v>80</v>
      </c>
      <c r="F57" s="25" t="s">
        <v>38</v>
      </c>
      <c r="G57" s="25" t="s">
        <v>34</v>
      </c>
      <c r="H57" s="25" t="s">
        <v>111</v>
      </c>
    </row>
    <row r="58" spans="1:13" x14ac:dyDescent="0.35">
      <c r="A58" s="54">
        <v>46031</v>
      </c>
      <c r="B58" s="25" t="s">
        <v>123</v>
      </c>
      <c r="C58" s="25" t="s">
        <v>32</v>
      </c>
      <c r="D58" s="25" t="s">
        <v>37</v>
      </c>
      <c r="E58" s="40">
        <v>14.5</v>
      </c>
      <c r="F58" s="25" t="s">
        <v>38</v>
      </c>
      <c r="G58" s="25" t="s">
        <v>48</v>
      </c>
      <c r="H58" s="25"/>
    </row>
    <row r="59" spans="1:13" x14ac:dyDescent="0.35">
      <c r="A59" s="54">
        <v>46032</v>
      </c>
      <c r="B59" s="25" t="s">
        <v>113</v>
      </c>
      <c r="C59" s="25" t="s">
        <v>32</v>
      </c>
      <c r="D59" s="25" t="s">
        <v>37</v>
      </c>
      <c r="E59" s="40">
        <v>41.2</v>
      </c>
      <c r="F59" s="25" t="s">
        <v>38</v>
      </c>
      <c r="G59" s="25" t="s">
        <v>34</v>
      </c>
      <c r="H59" s="25"/>
    </row>
    <row r="60" spans="1:13" x14ac:dyDescent="0.35">
      <c r="A60" s="54">
        <v>46033</v>
      </c>
      <c r="B60" s="25" t="s">
        <v>124</v>
      </c>
      <c r="C60" s="25" t="s">
        <v>32</v>
      </c>
      <c r="D60" s="25" t="s">
        <v>40</v>
      </c>
      <c r="E60" s="40">
        <v>28</v>
      </c>
      <c r="F60" s="25" t="s">
        <v>38</v>
      </c>
      <c r="G60" s="25" t="s">
        <v>34</v>
      </c>
      <c r="H60" s="25"/>
    </row>
    <row r="61" spans="1:13" x14ac:dyDescent="0.35">
      <c r="A61" s="54">
        <v>46034</v>
      </c>
      <c r="B61" s="25" t="s">
        <v>125</v>
      </c>
      <c r="C61" s="25" t="s">
        <v>32</v>
      </c>
      <c r="D61" s="25" t="s">
        <v>54</v>
      </c>
      <c r="E61" s="40">
        <v>420</v>
      </c>
      <c r="F61" s="25" t="s">
        <v>13</v>
      </c>
      <c r="G61" s="25" t="s">
        <v>34</v>
      </c>
      <c r="H61" s="25" t="s">
        <v>126</v>
      </c>
    </row>
    <row r="62" spans="1:13" x14ac:dyDescent="0.35">
      <c r="A62" s="54">
        <v>46035</v>
      </c>
      <c r="B62" s="25" t="s">
        <v>127</v>
      </c>
      <c r="C62" s="25" t="s">
        <v>32</v>
      </c>
      <c r="D62" s="25" t="s">
        <v>51</v>
      </c>
      <c r="E62" s="40">
        <v>12.3</v>
      </c>
      <c r="F62" s="25" t="s">
        <v>38</v>
      </c>
      <c r="G62" s="25" t="s">
        <v>34</v>
      </c>
      <c r="H62" s="25"/>
    </row>
    <row r="63" spans="1:13" x14ac:dyDescent="0.35">
      <c r="A63" s="54">
        <v>46036</v>
      </c>
      <c r="B63" s="25" t="s">
        <v>113</v>
      </c>
      <c r="C63" s="25" t="s">
        <v>32</v>
      </c>
      <c r="D63" s="25" t="s">
        <v>37</v>
      </c>
      <c r="E63" s="40">
        <v>27.9</v>
      </c>
      <c r="F63" s="25" t="s">
        <v>38</v>
      </c>
      <c r="G63" s="25" t="s">
        <v>34</v>
      </c>
      <c r="H63" s="25"/>
    </row>
    <row r="64" spans="1:13" x14ac:dyDescent="0.35">
      <c r="A64" s="54">
        <v>46037</v>
      </c>
      <c r="B64" s="25" t="s">
        <v>128</v>
      </c>
      <c r="C64" s="25" t="s">
        <v>32</v>
      </c>
      <c r="D64" s="25" t="s">
        <v>55</v>
      </c>
      <c r="E64" s="40">
        <v>380</v>
      </c>
      <c r="F64" s="25" t="s">
        <v>13</v>
      </c>
      <c r="G64" s="25" t="s">
        <v>34</v>
      </c>
      <c r="H64" s="25"/>
    </row>
    <row r="65" spans="1:8" x14ac:dyDescent="0.35">
      <c r="A65" s="54">
        <v>46038</v>
      </c>
      <c r="B65" s="25" t="s">
        <v>129</v>
      </c>
      <c r="C65" s="25" t="s">
        <v>32</v>
      </c>
      <c r="D65" s="25" t="s">
        <v>49</v>
      </c>
      <c r="E65" s="40">
        <v>59</v>
      </c>
      <c r="F65" s="25" t="s">
        <v>38</v>
      </c>
      <c r="G65" s="25" t="s">
        <v>34</v>
      </c>
      <c r="H65" s="25"/>
    </row>
    <row r="66" spans="1:8" x14ac:dyDescent="0.35">
      <c r="A66" s="54">
        <v>46038</v>
      </c>
      <c r="B66" s="25" t="s">
        <v>130</v>
      </c>
      <c r="C66" s="25" t="s">
        <v>32</v>
      </c>
      <c r="D66" s="25" t="s">
        <v>57</v>
      </c>
      <c r="E66" s="40">
        <v>300</v>
      </c>
      <c r="F66" s="25" t="s">
        <v>44</v>
      </c>
      <c r="G66" s="25" t="s">
        <v>34</v>
      </c>
      <c r="H66" s="25"/>
    </row>
    <row r="67" spans="1:8" x14ac:dyDescent="0.35">
      <c r="A67" s="54">
        <v>46038</v>
      </c>
      <c r="B67" s="25" t="s">
        <v>130</v>
      </c>
      <c r="C67" s="25" t="s">
        <v>32</v>
      </c>
      <c r="D67" s="25" t="s">
        <v>57</v>
      </c>
      <c r="E67" s="40">
        <v>300</v>
      </c>
      <c r="F67" s="25" t="s">
        <v>41</v>
      </c>
      <c r="G67" s="25" t="s">
        <v>39</v>
      </c>
      <c r="H67" s="25"/>
    </row>
    <row r="68" spans="1:8" x14ac:dyDescent="0.35">
      <c r="A68" s="54">
        <v>46038</v>
      </c>
      <c r="B68" s="25" t="s">
        <v>131</v>
      </c>
      <c r="C68" s="25" t="s">
        <v>32</v>
      </c>
      <c r="D68" s="25" t="s">
        <v>57</v>
      </c>
      <c r="E68" s="40">
        <v>100</v>
      </c>
      <c r="F68" s="25" t="s">
        <v>44</v>
      </c>
      <c r="G68" s="25" t="s">
        <v>34</v>
      </c>
      <c r="H68" s="25"/>
    </row>
    <row r="69" spans="1:8" x14ac:dyDescent="0.35">
      <c r="A69" s="54">
        <v>46038</v>
      </c>
      <c r="B69" s="25" t="s">
        <v>131</v>
      </c>
      <c r="C69" s="25" t="s">
        <v>32</v>
      </c>
      <c r="D69" s="25" t="s">
        <v>57</v>
      </c>
      <c r="E69" s="40">
        <v>100</v>
      </c>
      <c r="F69" s="25" t="s">
        <v>41</v>
      </c>
      <c r="G69" s="25" t="s">
        <v>42</v>
      </c>
      <c r="H69" s="25"/>
    </row>
    <row r="70" spans="1:8" x14ac:dyDescent="0.35">
      <c r="A70" s="54">
        <v>46039</v>
      </c>
      <c r="B70" s="25" t="s">
        <v>132</v>
      </c>
      <c r="C70" s="25" t="s">
        <v>32</v>
      </c>
      <c r="D70" s="25" t="s">
        <v>58</v>
      </c>
      <c r="E70" s="40">
        <v>200</v>
      </c>
      <c r="F70" s="25" t="s">
        <v>44</v>
      </c>
      <c r="G70" s="25" t="s">
        <v>34</v>
      </c>
      <c r="H70" s="25"/>
    </row>
    <row r="71" spans="1:8" x14ac:dyDescent="0.35">
      <c r="A71" s="54">
        <v>46039</v>
      </c>
      <c r="B71" s="25" t="s">
        <v>132</v>
      </c>
      <c r="C71" s="25" t="s">
        <v>32</v>
      </c>
      <c r="D71" s="25" t="s">
        <v>58</v>
      </c>
      <c r="E71" s="40">
        <v>200</v>
      </c>
      <c r="F71" s="25" t="s">
        <v>41</v>
      </c>
      <c r="G71" s="25" t="s">
        <v>45</v>
      </c>
      <c r="H71" s="25"/>
    </row>
    <row r="72" spans="1:8" x14ac:dyDescent="0.35">
      <c r="A72" s="54">
        <v>46040</v>
      </c>
      <c r="B72" s="25" t="s">
        <v>133</v>
      </c>
      <c r="C72" s="25" t="s">
        <v>32</v>
      </c>
      <c r="D72" s="25" t="s">
        <v>40</v>
      </c>
      <c r="E72" s="40">
        <v>9.5</v>
      </c>
      <c r="F72" s="25" t="s">
        <v>38</v>
      </c>
      <c r="G72" s="25" t="s">
        <v>34</v>
      </c>
      <c r="H72" s="25"/>
    </row>
    <row r="73" spans="1:8" x14ac:dyDescent="0.35">
      <c r="A73" s="54">
        <v>46041</v>
      </c>
      <c r="B73" s="25" t="s">
        <v>113</v>
      </c>
      <c r="C73" s="25" t="s">
        <v>32</v>
      </c>
      <c r="D73" s="25" t="s">
        <v>37</v>
      </c>
      <c r="E73" s="40">
        <v>52.3</v>
      </c>
      <c r="F73" s="25" t="s">
        <v>38</v>
      </c>
      <c r="G73" s="25" t="s">
        <v>34</v>
      </c>
      <c r="H73" s="25"/>
    </row>
    <row r="74" spans="1:8" x14ac:dyDescent="0.35">
      <c r="A74" s="54">
        <v>46042</v>
      </c>
      <c r="B74" s="25" t="s">
        <v>134</v>
      </c>
      <c r="C74" s="25" t="s">
        <v>32</v>
      </c>
      <c r="D74" s="25" t="s">
        <v>43</v>
      </c>
      <c r="E74" s="40">
        <v>24.5</v>
      </c>
      <c r="F74" s="25" t="s">
        <v>38</v>
      </c>
      <c r="G74" s="25" t="s">
        <v>34</v>
      </c>
      <c r="H74" s="25"/>
    </row>
    <row r="75" spans="1:8" x14ac:dyDescent="0.35">
      <c r="A75" s="54">
        <v>46043</v>
      </c>
      <c r="B75" s="25" t="s">
        <v>135</v>
      </c>
      <c r="C75" s="25" t="s">
        <v>32</v>
      </c>
      <c r="D75" s="25" t="s">
        <v>51</v>
      </c>
      <c r="E75" s="40">
        <v>25</v>
      </c>
      <c r="F75" s="25" t="s">
        <v>38</v>
      </c>
      <c r="G75" s="25" t="s">
        <v>34</v>
      </c>
      <c r="H75" s="25"/>
    </row>
    <row r="76" spans="1:8" x14ac:dyDescent="0.35">
      <c r="A76" s="54">
        <v>46045</v>
      </c>
      <c r="B76" s="25" t="s">
        <v>113</v>
      </c>
      <c r="C76" s="25" t="s">
        <v>32</v>
      </c>
      <c r="D76" s="25" t="s">
        <v>37</v>
      </c>
      <c r="E76" s="40">
        <v>22.1</v>
      </c>
      <c r="F76" s="25" t="s">
        <v>38</v>
      </c>
      <c r="G76" s="25" t="s">
        <v>34</v>
      </c>
      <c r="H76" s="25"/>
    </row>
    <row r="77" spans="1:8" x14ac:dyDescent="0.35">
      <c r="A77" s="54">
        <v>46047</v>
      </c>
      <c r="B77" s="25" t="s">
        <v>119</v>
      </c>
      <c r="C77" s="25" t="s">
        <v>32</v>
      </c>
      <c r="D77" s="25" t="s">
        <v>40</v>
      </c>
      <c r="E77" s="40">
        <v>22.4</v>
      </c>
      <c r="F77" s="25" t="s">
        <v>38</v>
      </c>
      <c r="G77" s="25" t="s">
        <v>34</v>
      </c>
      <c r="H77" s="25"/>
    </row>
    <row r="78" spans="1:8" x14ac:dyDescent="0.35">
      <c r="A78" s="54">
        <v>46050</v>
      </c>
      <c r="B78" s="25" t="s">
        <v>113</v>
      </c>
      <c r="C78" s="25" t="s">
        <v>32</v>
      </c>
      <c r="D78" s="25" t="s">
        <v>37</v>
      </c>
      <c r="E78" s="40">
        <v>36.6</v>
      </c>
      <c r="F78" s="25" t="s">
        <v>38</v>
      </c>
      <c r="G78" s="25" t="s">
        <v>34</v>
      </c>
      <c r="H78" s="25"/>
    </row>
    <row r="79" spans="1:8" x14ac:dyDescent="0.35">
      <c r="A79" s="56"/>
      <c r="E79" s="39"/>
    </row>
    <row r="80" spans="1:8" x14ac:dyDescent="0.35">
      <c r="A80" s="56"/>
      <c r="E80" s="39"/>
    </row>
    <row r="81" spans="1:5" x14ac:dyDescent="0.35">
      <c r="A81" s="56"/>
      <c r="E81" s="39"/>
    </row>
    <row r="82" spans="1:5" x14ac:dyDescent="0.35">
      <c r="A82" s="56"/>
      <c r="E82" s="39"/>
    </row>
    <row r="83" spans="1:5" x14ac:dyDescent="0.35">
      <c r="A83" s="56"/>
      <c r="E83" s="39"/>
    </row>
    <row r="84" spans="1:5" x14ac:dyDescent="0.35">
      <c r="A84" s="56"/>
      <c r="E84" s="39"/>
    </row>
    <row r="85" spans="1:5" x14ac:dyDescent="0.35">
      <c r="A85" s="56"/>
      <c r="E85" s="39"/>
    </row>
    <row r="86" spans="1:5" x14ac:dyDescent="0.35">
      <c r="A86" s="56"/>
      <c r="E86" s="39"/>
    </row>
    <row r="87" spans="1:5" x14ac:dyDescent="0.35">
      <c r="A87" s="56"/>
      <c r="E87" s="39"/>
    </row>
    <row r="88" spans="1:5" x14ac:dyDescent="0.35">
      <c r="A88" s="56"/>
      <c r="E88" s="39"/>
    </row>
    <row r="89" spans="1:5" x14ac:dyDescent="0.35">
      <c r="A89" s="56"/>
      <c r="E89" s="39"/>
    </row>
    <row r="90" spans="1:5" x14ac:dyDescent="0.35">
      <c r="A90" s="56"/>
      <c r="E90" s="39"/>
    </row>
    <row r="91" spans="1:5" x14ac:dyDescent="0.35">
      <c r="A91" s="56"/>
      <c r="E91" s="39"/>
    </row>
    <row r="92" spans="1:5" x14ac:dyDescent="0.35">
      <c r="A92" s="56"/>
      <c r="E92" s="39"/>
    </row>
    <row r="93" spans="1:5" x14ac:dyDescent="0.35">
      <c r="A93" s="56"/>
      <c r="E93" s="39"/>
    </row>
    <row r="94" spans="1:5" x14ac:dyDescent="0.35">
      <c r="A94" s="56"/>
      <c r="E94" s="39"/>
    </row>
    <row r="95" spans="1:5" x14ac:dyDescent="0.35">
      <c r="A95" s="56"/>
      <c r="E95" s="39"/>
    </row>
    <row r="96" spans="1:5" x14ac:dyDescent="0.35">
      <c r="A96" s="56"/>
      <c r="E96" s="39"/>
    </row>
    <row r="97" spans="1:5" x14ac:dyDescent="0.35">
      <c r="A97" s="56"/>
      <c r="E97" s="39"/>
    </row>
    <row r="98" spans="1:5" x14ac:dyDescent="0.35">
      <c r="A98" s="56"/>
      <c r="E98" s="39"/>
    </row>
    <row r="99" spans="1:5" x14ac:dyDescent="0.35">
      <c r="A99" s="56"/>
      <c r="E99" s="39"/>
    </row>
    <row r="100" spans="1:5" x14ac:dyDescent="0.35">
      <c r="A100" s="56"/>
      <c r="E100" s="39"/>
    </row>
    <row r="101" spans="1:5" x14ac:dyDescent="0.35">
      <c r="A101" s="56"/>
      <c r="E101" s="39"/>
    </row>
    <row r="102" spans="1:5" x14ac:dyDescent="0.35">
      <c r="A102" s="56"/>
      <c r="E102" s="39"/>
    </row>
    <row r="103" spans="1:5" x14ac:dyDescent="0.35">
      <c r="A103" s="56"/>
      <c r="E103" s="39"/>
    </row>
    <row r="104" spans="1:5" x14ac:dyDescent="0.35">
      <c r="A104" s="56"/>
      <c r="E104" s="39"/>
    </row>
    <row r="105" spans="1:5" x14ac:dyDescent="0.35">
      <c r="A105" s="56"/>
      <c r="E105" s="39"/>
    </row>
    <row r="106" spans="1:5" x14ac:dyDescent="0.35">
      <c r="A106" s="56"/>
      <c r="E106" s="39"/>
    </row>
    <row r="107" spans="1:5" x14ac:dyDescent="0.35">
      <c r="A107" s="56"/>
      <c r="E107" s="39"/>
    </row>
    <row r="108" spans="1:5" x14ac:dyDescent="0.35">
      <c r="A108" s="56"/>
      <c r="E108" s="39"/>
    </row>
    <row r="109" spans="1:5" x14ac:dyDescent="0.35">
      <c r="A109" s="56"/>
      <c r="E109" s="39"/>
    </row>
    <row r="110" spans="1:5" x14ac:dyDescent="0.35">
      <c r="A110" s="56"/>
      <c r="E110" s="39"/>
    </row>
    <row r="111" spans="1:5" x14ac:dyDescent="0.35">
      <c r="A111" s="56"/>
      <c r="E111" s="39"/>
    </row>
    <row r="112" spans="1:5" x14ac:dyDescent="0.35">
      <c r="A112" s="56"/>
      <c r="E112" s="39"/>
    </row>
    <row r="113" spans="1:5" x14ac:dyDescent="0.35">
      <c r="A113" s="56"/>
      <c r="E113" s="39"/>
    </row>
    <row r="114" spans="1:5" x14ac:dyDescent="0.35">
      <c r="A114" s="56"/>
      <c r="E114" s="39"/>
    </row>
    <row r="115" spans="1:5" x14ac:dyDescent="0.35">
      <c r="A115" s="56"/>
      <c r="E115" s="39"/>
    </row>
    <row r="116" spans="1:5" x14ac:dyDescent="0.35">
      <c r="A116" s="56"/>
      <c r="E116" s="39"/>
    </row>
    <row r="117" spans="1:5" x14ac:dyDescent="0.35">
      <c r="A117" s="56"/>
      <c r="E117" s="39"/>
    </row>
    <row r="118" spans="1:5" x14ac:dyDescent="0.35">
      <c r="A118" s="56"/>
      <c r="E118" s="39"/>
    </row>
    <row r="119" spans="1:5" x14ac:dyDescent="0.35">
      <c r="A119" s="56"/>
      <c r="E119" s="39"/>
    </row>
    <row r="120" spans="1:5" x14ac:dyDescent="0.35">
      <c r="A120" s="56"/>
      <c r="E120" s="39"/>
    </row>
    <row r="121" spans="1:5" x14ac:dyDescent="0.35">
      <c r="A121" s="56"/>
      <c r="E121" s="39"/>
    </row>
    <row r="122" spans="1:5" x14ac:dyDescent="0.35">
      <c r="A122" s="56"/>
      <c r="E122" s="39"/>
    </row>
    <row r="123" spans="1:5" x14ac:dyDescent="0.35">
      <c r="A123" s="56"/>
      <c r="E123" s="39"/>
    </row>
    <row r="124" spans="1:5" x14ac:dyDescent="0.35">
      <c r="A124" s="56"/>
      <c r="E124" s="39"/>
    </row>
    <row r="125" spans="1:5" x14ac:dyDescent="0.35">
      <c r="A125" s="56"/>
      <c r="E125" s="39"/>
    </row>
    <row r="126" spans="1:5" x14ac:dyDescent="0.35">
      <c r="A126" s="56"/>
      <c r="E126" s="39"/>
    </row>
    <row r="127" spans="1:5" x14ac:dyDescent="0.35">
      <c r="A127" s="56"/>
      <c r="E127" s="39"/>
    </row>
    <row r="128" spans="1:5" x14ac:dyDescent="0.35">
      <c r="A128" s="56"/>
      <c r="E128" s="39"/>
    </row>
    <row r="129" spans="1:5" x14ac:dyDescent="0.35">
      <c r="A129" s="56"/>
      <c r="E129" s="39"/>
    </row>
    <row r="130" spans="1:5" x14ac:dyDescent="0.35">
      <c r="A130" s="56"/>
      <c r="E130" s="39"/>
    </row>
    <row r="131" spans="1:5" x14ac:dyDescent="0.35">
      <c r="A131" s="56"/>
      <c r="E131" s="39"/>
    </row>
    <row r="132" spans="1:5" x14ac:dyDescent="0.35">
      <c r="A132" s="56"/>
      <c r="E132" s="39"/>
    </row>
    <row r="133" spans="1:5" x14ac:dyDescent="0.35">
      <c r="A133" s="56"/>
      <c r="E133" s="39"/>
    </row>
    <row r="134" spans="1:5" x14ac:dyDescent="0.35">
      <c r="A134" s="56"/>
      <c r="E134" s="39"/>
    </row>
    <row r="135" spans="1:5" x14ac:dyDescent="0.35">
      <c r="A135" s="56"/>
      <c r="E135" s="39"/>
    </row>
    <row r="136" spans="1:5" x14ac:dyDescent="0.35">
      <c r="A136" s="56"/>
      <c r="E136" s="39"/>
    </row>
    <row r="137" spans="1:5" x14ac:dyDescent="0.35">
      <c r="A137" s="56"/>
      <c r="E137" s="39"/>
    </row>
    <row r="138" spans="1:5" x14ac:dyDescent="0.35">
      <c r="A138" s="56"/>
      <c r="E138" s="39"/>
    </row>
    <row r="139" spans="1:5" x14ac:dyDescent="0.35">
      <c r="A139" s="56"/>
      <c r="E139" s="39"/>
    </row>
    <row r="140" spans="1:5" x14ac:dyDescent="0.35">
      <c r="A140" s="56"/>
      <c r="E140" s="39"/>
    </row>
    <row r="141" spans="1:5" x14ac:dyDescent="0.35">
      <c r="A141" s="56"/>
      <c r="E141" s="39"/>
    </row>
    <row r="142" spans="1:5" x14ac:dyDescent="0.35">
      <c r="A142" s="56"/>
      <c r="E142" s="39"/>
    </row>
    <row r="143" spans="1:5" x14ac:dyDescent="0.35">
      <c r="A143" s="56"/>
      <c r="E143" s="39"/>
    </row>
    <row r="144" spans="1:5" x14ac:dyDescent="0.35">
      <c r="A144" s="56"/>
      <c r="E144" s="39"/>
    </row>
    <row r="145" spans="1:5" x14ac:dyDescent="0.35">
      <c r="A145" s="56"/>
      <c r="E145" s="39"/>
    </row>
    <row r="146" spans="1:5" x14ac:dyDescent="0.35">
      <c r="A146" s="56"/>
      <c r="E146" s="39"/>
    </row>
    <row r="147" spans="1:5" x14ac:dyDescent="0.35">
      <c r="A147" s="56"/>
      <c r="E147" s="39"/>
    </row>
    <row r="148" spans="1:5" x14ac:dyDescent="0.35">
      <c r="A148" s="56"/>
      <c r="E148" s="39"/>
    </row>
    <row r="149" spans="1:5" x14ac:dyDescent="0.35">
      <c r="A149" s="56"/>
      <c r="E149" s="39"/>
    </row>
    <row r="150" spans="1:5" x14ac:dyDescent="0.35">
      <c r="A150" s="56"/>
      <c r="E150" s="39"/>
    </row>
    <row r="151" spans="1:5" x14ac:dyDescent="0.35">
      <c r="A151" s="56"/>
      <c r="E151" s="39"/>
    </row>
    <row r="152" spans="1:5" x14ac:dyDescent="0.35">
      <c r="A152" s="56"/>
      <c r="E152" s="39"/>
    </row>
    <row r="153" spans="1:5" x14ac:dyDescent="0.35">
      <c r="A153" s="56"/>
      <c r="E153" s="39"/>
    </row>
    <row r="154" spans="1:5" x14ac:dyDescent="0.35">
      <c r="A154" s="56"/>
      <c r="E154" s="39"/>
    </row>
    <row r="155" spans="1:5" x14ac:dyDescent="0.35">
      <c r="A155" s="56"/>
      <c r="E155" s="39"/>
    </row>
    <row r="156" spans="1:5" x14ac:dyDescent="0.35">
      <c r="A156" s="56"/>
      <c r="E156" s="39"/>
    </row>
    <row r="157" spans="1:5" x14ac:dyDescent="0.35">
      <c r="A157" s="56"/>
      <c r="E157" s="39"/>
    </row>
    <row r="158" spans="1:5" x14ac:dyDescent="0.35">
      <c r="A158" s="56"/>
      <c r="E158" s="39"/>
    </row>
    <row r="159" spans="1:5" x14ac:dyDescent="0.35">
      <c r="A159" s="56"/>
      <c r="E159" s="39"/>
    </row>
    <row r="160" spans="1:5" x14ac:dyDescent="0.35">
      <c r="A160" s="56"/>
      <c r="E160" s="39"/>
    </row>
    <row r="161" spans="1:5" x14ac:dyDescent="0.35">
      <c r="A161" s="56"/>
      <c r="E161" s="39"/>
    </row>
    <row r="162" spans="1:5" x14ac:dyDescent="0.35">
      <c r="A162" s="56"/>
      <c r="E162" s="39"/>
    </row>
    <row r="163" spans="1:5" x14ac:dyDescent="0.35">
      <c r="A163" s="56"/>
      <c r="E163" s="39"/>
    </row>
    <row r="164" spans="1:5" x14ac:dyDescent="0.35">
      <c r="A164" s="56"/>
      <c r="E164" s="39"/>
    </row>
    <row r="165" spans="1:5" x14ac:dyDescent="0.35">
      <c r="A165" s="56"/>
      <c r="E165" s="39"/>
    </row>
    <row r="166" spans="1:5" x14ac:dyDescent="0.35">
      <c r="A166" s="56"/>
      <c r="E166" s="39"/>
    </row>
    <row r="167" spans="1:5" x14ac:dyDescent="0.35">
      <c r="A167" s="56"/>
      <c r="E167" s="39"/>
    </row>
    <row r="168" spans="1:5" x14ac:dyDescent="0.35">
      <c r="A168" s="56"/>
      <c r="E168" s="39"/>
    </row>
    <row r="169" spans="1:5" x14ac:dyDescent="0.35">
      <c r="A169" s="56"/>
      <c r="E169" s="39"/>
    </row>
    <row r="170" spans="1:5" x14ac:dyDescent="0.35">
      <c r="A170" s="56"/>
      <c r="E170" s="39"/>
    </row>
    <row r="171" spans="1:5" x14ac:dyDescent="0.35">
      <c r="A171" s="56"/>
      <c r="E171" s="39"/>
    </row>
    <row r="172" spans="1:5" x14ac:dyDescent="0.35">
      <c r="A172" s="56"/>
      <c r="E172" s="39"/>
    </row>
    <row r="173" spans="1:5" x14ac:dyDescent="0.35">
      <c r="A173" s="56"/>
      <c r="E173" s="39"/>
    </row>
    <row r="174" spans="1:5" x14ac:dyDescent="0.35">
      <c r="A174" s="56"/>
      <c r="E174" s="39"/>
    </row>
    <row r="175" spans="1:5" x14ac:dyDescent="0.35">
      <c r="A175" s="56"/>
      <c r="E175" s="39"/>
    </row>
    <row r="176" spans="1:5" x14ac:dyDescent="0.35">
      <c r="A176" s="56"/>
      <c r="E176" s="39"/>
    </row>
    <row r="177" spans="1:5" x14ac:dyDescent="0.35">
      <c r="A177" s="56"/>
      <c r="E177" s="39"/>
    </row>
    <row r="178" spans="1:5" x14ac:dyDescent="0.35">
      <c r="A178" s="56"/>
      <c r="E178" s="39"/>
    </row>
    <row r="179" spans="1:5" x14ac:dyDescent="0.35">
      <c r="A179" s="56"/>
      <c r="E179" s="39"/>
    </row>
    <row r="180" spans="1:5" x14ac:dyDescent="0.35">
      <c r="A180" s="56"/>
      <c r="E180" s="39"/>
    </row>
    <row r="181" spans="1:5" x14ac:dyDescent="0.35">
      <c r="A181" s="56"/>
      <c r="E181" s="39"/>
    </row>
    <row r="182" spans="1:5" x14ac:dyDescent="0.35">
      <c r="A182" s="56"/>
      <c r="E182" s="39"/>
    </row>
    <row r="183" spans="1:5" x14ac:dyDescent="0.35">
      <c r="A183" s="56"/>
      <c r="E183" s="39"/>
    </row>
    <row r="184" spans="1:5" x14ac:dyDescent="0.35">
      <c r="A184" s="56"/>
      <c r="E184" s="39"/>
    </row>
    <row r="185" spans="1:5" x14ac:dyDescent="0.35">
      <c r="A185" s="56"/>
      <c r="E185" s="39"/>
    </row>
    <row r="186" spans="1:5" x14ac:dyDescent="0.35">
      <c r="A186" s="56"/>
      <c r="E186" s="39"/>
    </row>
    <row r="187" spans="1:5" x14ac:dyDescent="0.35">
      <c r="A187" s="56"/>
      <c r="E187" s="39"/>
    </row>
    <row r="188" spans="1:5" x14ac:dyDescent="0.35">
      <c r="A188" s="56"/>
      <c r="E188" s="39"/>
    </row>
    <row r="189" spans="1:5" x14ac:dyDescent="0.35">
      <c r="A189" s="56"/>
      <c r="E189" s="39"/>
    </row>
    <row r="190" spans="1:5" x14ac:dyDescent="0.35">
      <c r="A190" s="56"/>
      <c r="E190" s="39"/>
    </row>
    <row r="191" spans="1:5" x14ac:dyDescent="0.35">
      <c r="A191" s="56"/>
      <c r="E191" s="39"/>
    </row>
    <row r="192" spans="1:5" x14ac:dyDescent="0.35">
      <c r="A192" s="56"/>
      <c r="E192" s="39"/>
    </row>
    <row r="193" spans="1:5" x14ac:dyDescent="0.35">
      <c r="A193" s="56"/>
      <c r="E193" s="39"/>
    </row>
    <row r="194" spans="1:5" x14ac:dyDescent="0.35">
      <c r="A194" s="56"/>
      <c r="E194" s="39"/>
    </row>
    <row r="195" spans="1:5" x14ac:dyDescent="0.35">
      <c r="A195" s="56"/>
      <c r="E195" s="39"/>
    </row>
    <row r="196" spans="1:5" x14ac:dyDescent="0.35">
      <c r="A196" s="56"/>
      <c r="E196" s="39"/>
    </row>
    <row r="197" spans="1:5" x14ac:dyDescent="0.35">
      <c r="A197" s="56"/>
      <c r="E197" s="39"/>
    </row>
    <row r="198" spans="1:5" x14ac:dyDescent="0.35">
      <c r="A198" s="56"/>
      <c r="E198" s="39"/>
    </row>
    <row r="199" spans="1:5" x14ac:dyDescent="0.35">
      <c r="A199" s="56"/>
      <c r="E199" s="39"/>
    </row>
    <row r="200" spans="1:5" x14ac:dyDescent="0.35">
      <c r="A200" s="56"/>
      <c r="E200" s="39"/>
    </row>
    <row r="201" spans="1:5" x14ac:dyDescent="0.35">
      <c r="A201" s="56"/>
      <c r="E201" s="39"/>
    </row>
    <row r="202" spans="1:5" x14ac:dyDescent="0.35">
      <c r="A202" s="56"/>
      <c r="E202" s="39"/>
    </row>
    <row r="203" spans="1:5" x14ac:dyDescent="0.35">
      <c r="A203" s="56"/>
      <c r="E203" s="39"/>
    </row>
    <row r="204" spans="1:5" x14ac:dyDescent="0.35">
      <c r="A204" s="56"/>
      <c r="E204" s="39"/>
    </row>
    <row r="205" spans="1:5" x14ac:dyDescent="0.35">
      <c r="A205" s="56"/>
      <c r="E205" s="39"/>
    </row>
    <row r="206" spans="1:5" x14ac:dyDescent="0.35">
      <c r="A206" s="56"/>
      <c r="E206" s="39"/>
    </row>
    <row r="207" spans="1:5" x14ac:dyDescent="0.35">
      <c r="A207" s="56"/>
      <c r="E207" s="39"/>
    </row>
    <row r="208" spans="1:5" x14ac:dyDescent="0.35">
      <c r="A208" s="56"/>
      <c r="E208" s="39"/>
    </row>
    <row r="209" spans="1:5" x14ac:dyDescent="0.35">
      <c r="A209" s="56"/>
      <c r="E209" s="39"/>
    </row>
    <row r="210" spans="1:5" x14ac:dyDescent="0.35">
      <c r="A210" s="56"/>
      <c r="E210" s="39"/>
    </row>
    <row r="211" spans="1:5" x14ac:dyDescent="0.35">
      <c r="A211" s="56"/>
      <c r="E211" s="39"/>
    </row>
    <row r="212" spans="1:5" x14ac:dyDescent="0.35">
      <c r="A212" s="56"/>
      <c r="E212" s="39"/>
    </row>
    <row r="213" spans="1:5" x14ac:dyDescent="0.35">
      <c r="A213" s="56"/>
      <c r="E213" s="39"/>
    </row>
    <row r="214" spans="1:5" x14ac:dyDescent="0.35">
      <c r="A214" s="56"/>
      <c r="E214" s="39"/>
    </row>
    <row r="215" spans="1:5" x14ac:dyDescent="0.35">
      <c r="A215" s="56"/>
      <c r="E215" s="39"/>
    </row>
    <row r="216" spans="1:5" x14ac:dyDescent="0.35">
      <c r="A216" s="56"/>
      <c r="E216" s="39"/>
    </row>
    <row r="217" spans="1:5" x14ac:dyDescent="0.35">
      <c r="A217" s="56"/>
      <c r="E217" s="39"/>
    </row>
    <row r="218" spans="1:5" x14ac:dyDescent="0.35">
      <c r="A218" s="56"/>
      <c r="E218" s="39"/>
    </row>
    <row r="219" spans="1:5" x14ac:dyDescent="0.35">
      <c r="A219" s="56"/>
      <c r="E219" s="39"/>
    </row>
    <row r="220" spans="1:5" x14ac:dyDescent="0.35">
      <c r="A220" s="56"/>
      <c r="E220" s="39"/>
    </row>
    <row r="221" spans="1:5" x14ac:dyDescent="0.35">
      <c r="A221" s="56"/>
      <c r="E221" s="39"/>
    </row>
    <row r="222" spans="1:5" x14ac:dyDescent="0.35">
      <c r="A222" s="56"/>
      <c r="E222" s="39"/>
    </row>
    <row r="223" spans="1:5" x14ac:dyDescent="0.35">
      <c r="A223" s="56"/>
      <c r="E223" s="39"/>
    </row>
    <row r="224" spans="1:5" x14ac:dyDescent="0.35">
      <c r="A224" s="56"/>
      <c r="E224" s="39"/>
    </row>
    <row r="225" spans="1:5" x14ac:dyDescent="0.35">
      <c r="A225" s="56"/>
      <c r="E225" s="39"/>
    </row>
    <row r="226" spans="1:5" x14ac:dyDescent="0.35">
      <c r="A226" s="56"/>
      <c r="E226" s="39"/>
    </row>
    <row r="227" spans="1:5" x14ac:dyDescent="0.35">
      <c r="A227" s="56"/>
      <c r="E227" s="39"/>
    </row>
    <row r="228" spans="1:5" x14ac:dyDescent="0.35">
      <c r="A228" s="56"/>
      <c r="E228" s="39"/>
    </row>
    <row r="229" spans="1:5" x14ac:dyDescent="0.35">
      <c r="A229" s="56"/>
      <c r="E229" s="39"/>
    </row>
    <row r="230" spans="1:5" x14ac:dyDescent="0.35">
      <c r="A230" s="56"/>
      <c r="E230" s="39"/>
    </row>
    <row r="231" spans="1:5" x14ac:dyDescent="0.35">
      <c r="A231" s="56"/>
      <c r="E231" s="39"/>
    </row>
    <row r="232" spans="1:5" x14ac:dyDescent="0.35">
      <c r="A232" s="56"/>
      <c r="E232" s="39"/>
    </row>
    <row r="233" spans="1:5" x14ac:dyDescent="0.35">
      <c r="A233" s="56"/>
      <c r="E233" s="39"/>
    </row>
    <row r="234" spans="1:5" x14ac:dyDescent="0.35">
      <c r="A234" s="56"/>
      <c r="E234" s="39"/>
    </row>
    <row r="235" spans="1:5" x14ac:dyDescent="0.35">
      <c r="A235" s="56"/>
      <c r="E235" s="39"/>
    </row>
    <row r="236" spans="1:5" x14ac:dyDescent="0.35">
      <c r="A236" s="56"/>
      <c r="E236" s="39"/>
    </row>
    <row r="237" spans="1:5" x14ac:dyDescent="0.35">
      <c r="A237" s="56"/>
      <c r="E237" s="39"/>
    </row>
    <row r="238" spans="1:5" x14ac:dyDescent="0.35">
      <c r="A238" s="56"/>
      <c r="E238" s="39"/>
    </row>
  </sheetData>
  <mergeCells count="13">
    <mergeCell ref="B15:C15"/>
    <mergeCell ref="B6:C6"/>
    <mergeCell ref="M6:N6"/>
    <mergeCell ref="M7:N8"/>
    <mergeCell ref="M10:N10"/>
    <mergeCell ref="M11:N12"/>
    <mergeCell ref="B2:C4"/>
    <mergeCell ref="E2:F2"/>
    <mergeCell ref="H2:K2"/>
    <mergeCell ref="M2:N2"/>
    <mergeCell ref="E3:F3"/>
    <mergeCell ref="H3:K3"/>
    <mergeCell ref="M3:N4"/>
  </mergeCells>
  <conditionalFormatting sqref="C16:C28">
    <cfRule type="expression" dxfId="17" priority="2">
      <formula>$B16="☑"</formula>
    </cfRule>
  </conditionalFormatting>
  <conditionalFormatting sqref="C39:C238">
    <cfRule type="cellIs" dxfId="16" priority="4" operator="equal">
      <formula>"Completed"</formula>
    </cfRule>
    <cfRule type="cellIs" dxfId="15" priority="5" operator="equal">
      <formula>"Pending"</formula>
    </cfRule>
  </conditionalFormatting>
  <conditionalFormatting sqref="F39:F238">
    <cfRule type="cellIs" dxfId="14" priority="6" operator="equal">
      <formula>"Income"</formula>
    </cfRule>
    <cfRule type="cellIs" dxfId="13" priority="7" operator="equal">
      <formula>"Expense"</formula>
    </cfRule>
    <cfRule type="cellIs" dxfId="12" priority="8" operator="equal">
      <formula>"Transfer In"</formula>
    </cfRule>
    <cfRule type="cellIs" dxfId="11" priority="9" operator="equal">
      <formula>"Transfer Out"</formula>
    </cfRule>
    <cfRule type="cellIs" dxfId="10" priority="10" operator="equal">
      <formula>"Opening balance"</formula>
    </cfRule>
  </conditionalFormatting>
  <conditionalFormatting sqref="K16:K25">
    <cfRule type="cellIs" dxfId="9" priority="3" operator="lessThan">
      <formula>0</formula>
    </cfRule>
  </conditionalFormatting>
  <dataValidations count="6">
    <dataValidation type="list" sqref="B16:B28" xr:uid="{00000000-0002-0000-0400-000000000000}">
      <formula1>"☐,☑"</formula1>
      <formula2>0</formula2>
    </dataValidation>
    <dataValidation type="list" sqref="N40:N49" xr:uid="{00000000-0002-0000-0400-000001000000}">
      <formula1>"Yes,No"</formula1>
      <formula2>0</formula2>
    </dataValidation>
    <dataValidation type="list" allowBlank="1" showErrorMessage="1" sqref="C39:C238" xr:uid="{00000000-0002-0000-0400-000002000000}">
      <formula1>StatusList</formula1>
      <formula2>0</formula2>
    </dataValidation>
    <dataValidation type="list" allowBlank="1" showErrorMessage="1" sqref="D39:D238" xr:uid="{00000000-0002-0000-0400-000003000000}">
      <formula1>CategoryList</formula1>
      <formula2>0</formula2>
    </dataValidation>
    <dataValidation type="list" allowBlank="1" showErrorMessage="1" sqref="F39:F238" xr:uid="{00000000-0002-0000-0400-000004000000}">
      <formula1>TypeList</formula1>
      <formula2>0</formula2>
    </dataValidation>
    <dataValidation type="list" allowBlank="1" showErrorMessage="1" sqref="G39:G238" xr:uid="{00000000-0002-0000-0400-000005000000}">
      <formula1>AccountList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Y238"/>
  <sheetViews>
    <sheetView showGridLines="0" tabSelected="1" topLeftCell="A86" zoomScale="85" zoomScaleNormal="85" workbookViewId="0"/>
  </sheetViews>
  <sheetFormatPr defaultColWidth="8.6328125" defaultRowHeight="14.5" x14ac:dyDescent="0.35"/>
  <cols>
    <col min="1" max="1" width="13" customWidth="1"/>
    <col min="2" max="2" width="28" customWidth="1"/>
    <col min="3" max="3" width="13" customWidth="1"/>
    <col min="4" max="5" width="20" customWidth="1"/>
    <col min="6" max="7" width="16" customWidth="1"/>
    <col min="8" max="8" width="22" customWidth="1"/>
    <col min="9" max="10" width="12" customWidth="1"/>
    <col min="11" max="12" width="16" customWidth="1"/>
    <col min="13" max="13" width="26" customWidth="1"/>
    <col min="14" max="14" width="16" customWidth="1"/>
  </cols>
  <sheetData>
    <row r="2" spans="2:25" ht="21.5" x14ac:dyDescent="0.35">
      <c r="B2" s="13" t="s">
        <v>12</v>
      </c>
      <c r="C2" s="13"/>
      <c r="E2" s="12" t="s">
        <v>13</v>
      </c>
      <c r="F2" s="12"/>
      <c r="H2" s="11" t="s">
        <v>26</v>
      </c>
      <c r="I2" s="11"/>
      <c r="J2" s="11"/>
      <c r="K2" s="11"/>
      <c r="M2" s="10" t="s">
        <v>15</v>
      </c>
      <c r="N2" s="10"/>
    </row>
    <row r="3" spans="2:25" ht="21" x14ac:dyDescent="0.35">
      <c r="B3" s="13"/>
      <c r="C3" s="13"/>
      <c r="E3" s="9">
        <f>F28</f>
        <v>3030</v>
      </c>
      <c r="F3" s="9"/>
      <c r="H3" s="8">
        <f>J28</f>
        <v>1846.23</v>
      </c>
      <c r="I3" s="8"/>
      <c r="J3" s="8"/>
      <c r="K3" s="8"/>
      <c r="M3" s="7">
        <f>F28-I28</f>
        <v>1085</v>
      </c>
      <c r="N3" s="7"/>
      <c r="X3" s="26" t="s">
        <v>69</v>
      </c>
      <c r="Y3" s="26" t="s">
        <v>22</v>
      </c>
    </row>
    <row r="4" spans="2:25" x14ac:dyDescent="0.35">
      <c r="B4" s="13"/>
      <c r="C4" s="13"/>
      <c r="M4" s="7"/>
      <c r="N4" s="7"/>
      <c r="X4" t="s">
        <v>70</v>
      </c>
      <c r="Y4" s="24">
        <f>N17</f>
        <v>1800</v>
      </c>
    </row>
    <row r="5" spans="2:25" ht="21.75" customHeight="1" x14ac:dyDescent="0.35">
      <c r="E5" s="27" t="s">
        <v>22</v>
      </c>
      <c r="F5" s="28"/>
      <c r="H5" s="29" t="s">
        <v>24</v>
      </c>
      <c r="I5" s="30"/>
      <c r="J5" s="30"/>
      <c r="K5" s="30"/>
      <c r="X5" t="s">
        <v>13</v>
      </c>
      <c r="Y5" s="24">
        <f>F28</f>
        <v>3030</v>
      </c>
    </row>
    <row r="6" spans="2:25" ht="21.75" customHeight="1" x14ac:dyDescent="0.35">
      <c r="B6" s="6" t="s">
        <v>71</v>
      </c>
      <c r="C6" s="6"/>
      <c r="E6" s="28"/>
      <c r="F6" s="28"/>
      <c r="H6" s="30"/>
      <c r="I6" s="30"/>
      <c r="J6" s="30"/>
      <c r="K6" s="30"/>
      <c r="M6" s="5" t="s">
        <v>72</v>
      </c>
      <c r="N6" s="5"/>
      <c r="X6" t="s">
        <v>26</v>
      </c>
      <c r="Y6" s="24">
        <f>J28</f>
        <v>1846.23</v>
      </c>
    </row>
    <row r="7" spans="2:25" ht="21.75" customHeight="1" x14ac:dyDescent="0.35">
      <c r="B7" s="31"/>
      <c r="C7" s="31"/>
      <c r="E7" s="28"/>
      <c r="F7" s="28"/>
      <c r="H7" s="30"/>
      <c r="I7" s="30"/>
      <c r="J7" s="30"/>
      <c r="K7" s="30"/>
      <c r="M7" s="4">
        <f>N17+N18+N19</f>
        <v>7900</v>
      </c>
      <c r="N7" s="4"/>
      <c r="X7" t="s">
        <v>73</v>
      </c>
      <c r="Y7" s="24">
        <f>M7</f>
        <v>7900</v>
      </c>
    </row>
    <row r="8" spans="2:25" ht="21.75" customHeight="1" x14ac:dyDescent="0.35">
      <c r="B8" s="31"/>
      <c r="C8" s="31"/>
      <c r="E8" s="28"/>
      <c r="F8" s="28"/>
      <c r="H8" s="30"/>
      <c r="I8" s="30"/>
      <c r="J8" s="30"/>
      <c r="K8" s="30"/>
      <c r="M8" s="4"/>
      <c r="N8" s="4"/>
    </row>
    <row r="9" spans="2:25" ht="21.75" customHeight="1" x14ac:dyDescent="0.35">
      <c r="B9" s="31"/>
      <c r="C9" s="31"/>
      <c r="E9" s="28"/>
      <c r="F9" s="28"/>
      <c r="H9" s="30"/>
      <c r="I9" s="30"/>
      <c r="J9" s="30"/>
      <c r="K9" s="30"/>
    </row>
    <row r="10" spans="2:25" ht="21.75" customHeight="1" x14ac:dyDescent="0.35">
      <c r="B10" s="31"/>
      <c r="C10" s="31"/>
      <c r="E10" s="28"/>
      <c r="F10" s="28"/>
      <c r="H10" s="30"/>
      <c r="I10" s="30"/>
      <c r="J10" s="30"/>
      <c r="K10" s="30"/>
      <c r="M10" s="3" t="s">
        <v>70</v>
      </c>
      <c r="N10" s="3"/>
    </row>
    <row r="11" spans="2:25" ht="21.75" customHeight="1" x14ac:dyDescent="0.35">
      <c r="B11" s="31"/>
      <c r="C11" s="31"/>
      <c r="E11" s="28"/>
      <c r="F11" s="28"/>
      <c r="H11" s="30"/>
      <c r="I11" s="30"/>
      <c r="J11" s="30"/>
      <c r="K11" s="30"/>
      <c r="M11" s="2">
        <f>N17</f>
        <v>1800</v>
      </c>
      <c r="N11" s="2"/>
    </row>
    <row r="12" spans="2:25" ht="21.75" customHeight="1" x14ac:dyDescent="0.35">
      <c r="B12" s="31"/>
      <c r="C12" s="31"/>
      <c r="E12" s="28"/>
      <c r="F12" s="28"/>
      <c r="H12" s="30"/>
      <c r="I12" s="30"/>
      <c r="J12" s="30"/>
      <c r="K12" s="30"/>
      <c r="M12" s="2"/>
      <c r="N12" s="2"/>
    </row>
    <row r="13" spans="2:25" ht="21.75" customHeight="1" x14ac:dyDescent="0.35"/>
    <row r="15" spans="2:25" x14ac:dyDescent="0.35">
      <c r="B15" s="1" t="s">
        <v>74</v>
      </c>
      <c r="C15" s="1"/>
      <c r="E15" s="32" t="s">
        <v>23</v>
      </c>
      <c r="F15" s="32" t="s">
        <v>22</v>
      </c>
      <c r="H15" s="33" t="s">
        <v>23</v>
      </c>
      <c r="I15" s="33" t="s">
        <v>75</v>
      </c>
      <c r="J15" s="34" t="s">
        <v>24</v>
      </c>
      <c r="K15" s="35" t="s">
        <v>76</v>
      </c>
      <c r="M15" s="36" t="s">
        <v>30</v>
      </c>
      <c r="N15" s="36" t="s">
        <v>77</v>
      </c>
    </row>
    <row r="16" spans="2:25" x14ac:dyDescent="0.35">
      <c r="B16" s="37" t="s">
        <v>78</v>
      </c>
      <c r="C16" s="38" t="s">
        <v>79</v>
      </c>
      <c r="E16" t="s">
        <v>53</v>
      </c>
      <c r="F16" s="39">
        <f>SUMIFS($E$39:$E$238,$D$39:$D$238,E16,$F$39:$F$238,"Income",$C$39:$C$238,"Completed")</f>
        <v>1350</v>
      </c>
      <c r="H16" t="s">
        <v>33</v>
      </c>
      <c r="I16" s="40">
        <v>640</v>
      </c>
      <c r="J16" s="39">
        <f t="shared" ref="J16:J24" si="0">SUMIFS($E$39:$E$238,$D$39:$D$238,H16,$F$39:$F$238,"Expense",$C$39:$C$238,"Completed")</f>
        <v>640</v>
      </c>
      <c r="K16" s="39">
        <f t="shared" ref="K16:K25" si="1">I16-J16</f>
        <v>0</v>
      </c>
      <c r="M16" t="s">
        <v>34</v>
      </c>
      <c r="N16" s="39">
        <f>SUMIFS($E$39:$E$238,$G$39:$G$238,M16,$F$39:$F$238,"Opening balance",$C$39:$C$238,"Completed")+SUMIFS($E$39:$E$238,$G$39:$G$238,M16,$F$39:$F$238,"Income",$C$39:$C$238,"Completed")+SUMIFS($E$39:$E$238,$G$39:$G$238,M16,$F$39:$F$238,"Transfer In",$C$39:$C$238,"Completed")-SUMIFS($E$39:$E$238,$G$39:$G$238,M16,$F$39:$F$238,"Expense",$C$39:$C$238,"Completed")-SUMIFS($E$39:$E$238,$G$39:$G$238,M16,$F$39:$F$238,"Transfer Out",$C$39:$C$238,"Completed")</f>
        <v>4066.5400000000009</v>
      </c>
    </row>
    <row r="17" spans="2:14" x14ac:dyDescent="0.35">
      <c r="B17" s="37" t="s">
        <v>78</v>
      </c>
      <c r="C17" s="38" t="s">
        <v>80</v>
      </c>
      <c r="E17" t="s">
        <v>54</v>
      </c>
      <c r="F17" s="39">
        <f>SUMIFS($E$39:$E$238,$D$39:$D$238,E17,$F$39:$F$238,"Income",$C$39:$C$238,"Completed")</f>
        <v>500</v>
      </c>
      <c r="H17" t="s">
        <v>37</v>
      </c>
      <c r="I17" s="40">
        <v>260</v>
      </c>
      <c r="J17" s="39">
        <f t="shared" si="0"/>
        <v>245.75</v>
      </c>
      <c r="K17" s="39">
        <f t="shared" si="1"/>
        <v>14.25</v>
      </c>
      <c r="M17" t="s">
        <v>39</v>
      </c>
      <c r="N17" s="39">
        <f>SUMIFS($E$39:$E$238,$G$39:$G$238,M17,$F$39:$F$238,"Opening balance",$C$39:$C$238,"Completed")+SUMIFS($E$39:$E$238,$G$39:$G$238,M17,$F$39:$F$238,"Income",$C$39:$C$238,"Completed")+SUMIFS($E$39:$E$238,$G$39:$G$238,M17,$F$39:$F$238,"Transfer In",$C$39:$C$238,"Completed")-SUMIFS($E$39:$E$238,$G$39:$G$238,M17,$F$39:$F$238,"Expense",$C$39:$C$238,"Completed")-SUMIFS($E$39:$E$238,$G$39:$G$238,M17,$F$39:$F$238,"Transfer Out",$C$39:$C$238,"Completed")</f>
        <v>1800</v>
      </c>
    </row>
    <row r="18" spans="2:14" x14ac:dyDescent="0.35">
      <c r="B18" s="37" t="s">
        <v>78</v>
      </c>
      <c r="C18" s="38" t="s">
        <v>81</v>
      </c>
      <c r="E18" t="s">
        <v>55</v>
      </c>
      <c r="F18" s="39">
        <f>SUMIFS($E$39:$E$238,$D$39:$D$238,E18,$F$39:$F$238,"Income",$C$39:$C$238,"Completed")</f>
        <v>380</v>
      </c>
      <c r="H18" t="s">
        <v>40</v>
      </c>
      <c r="I18" s="40">
        <v>70</v>
      </c>
      <c r="J18" s="39">
        <f t="shared" si="0"/>
        <v>75.699999999999989</v>
      </c>
      <c r="K18" s="39">
        <f t="shared" si="1"/>
        <v>-5.6999999999999886</v>
      </c>
      <c r="M18" t="s">
        <v>42</v>
      </c>
      <c r="N18" s="39">
        <f>SUMIFS($E$39:$E$238,$G$39:$G$238,M18,$F$39:$F$238,"Opening balance",$C$39:$C$238,"Completed")+SUMIFS($E$39:$E$238,$G$39:$G$238,M18,$F$39:$F$238,"Income",$C$39:$C$238,"Completed")+SUMIFS($E$39:$E$238,$G$39:$G$238,M18,$F$39:$F$238,"Transfer In",$C$39:$C$238,"Completed")-SUMIFS($E$39:$E$238,$G$39:$G$238,M18,$F$39:$F$238,"Expense",$C$39:$C$238,"Completed")-SUMIFS($E$39:$E$238,$G$39:$G$238,M18,$F$39:$F$238,"Transfer Out",$C$39:$C$238,"Completed")</f>
        <v>3200</v>
      </c>
    </row>
    <row r="19" spans="2:14" x14ac:dyDescent="0.35">
      <c r="B19" s="37" t="s">
        <v>78</v>
      </c>
      <c r="C19" s="41"/>
      <c r="E19" t="s">
        <v>56</v>
      </c>
      <c r="F19" s="39">
        <f>SUMIFS($E$39:$E$238,$D$39:$D$238,E19,$F$39:$F$238,"Income",$C$39:$C$238,"Completed")</f>
        <v>800</v>
      </c>
      <c r="H19" t="s">
        <v>43</v>
      </c>
      <c r="I19" s="40">
        <v>70</v>
      </c>
      <c r="J19" s="39">
        <f t="shared" si="0"/>
        <v>54.5</v>
      </c>
      <c r="K19" s="39">
        <f t="shared" si="1"/>
        <v>15.5</v>
      </c>
      <c r="M19" t="s">
        <v>45</v>
      </c>
      <c r="N19" s="39">
        <f>SUMIFS($E$39:$E$238,$G$39:$G$238,M19,$F$39:$F$238,"Opening balance",$C$39:$C$238,"Completed")+SUMIFS($E$39:$E$238,$G$39:$G$238,M19,$F$39:$F$238,"Income",$C$39:$C$238,"Completed")+SUMIFS($E$39:$E$238,$G$39:$G$238,M19,$F$39:$F$238,"Transfer In",$C$39:$C$238,"Completed")-SUMIFS($E$39:$E$238,$G$39:$G$238,M19,$F$39:$F$238,"Expense",$C$39:$C$238,"Completed")-SUMIFS($E$39:$E$238,$G$39:$G$238,M19,$F$39:$F$238,"Transfer Out",$C$39:$C$238,"Completed")</f>
        <v>2900</v>
      </c>
    </row>
    <row r="20" spans="2:14" x14ac:dyDescent="0.35">
      <c r="B20" s="37" t="s">
        <v>78</v>
      </c>
      <c r="C20" s="41"/>
      <c r="E20" t="s">
        <v>60</v>
      </c>
      <c r="F20" s="39">
        <f>SUMIFS($E$39:$E$238,$D$39:$D$238,E20,$F$39:$F$238,"Income",$C$39:$C$238,"Completed")</f>
        <v>0</v>
      </c>
      <c r="H20" t="s">
        <v>46</v>
      </c>
      <c r="I20" s="40">
        <v>40</v>
      </c>
      <c r="J20" s="39">
        <f t="shared" si="0"/>
        <v>29.98</v>
      </c>
      <c r="K20" s="39">
        <f t="shared" si="1"/>
        <v>10.02</v>
      </c>
      <c r="M20" t="s">
        <v>48</v>
      </c>
      <c r="N20" s="39">
        <f>SUMIFS($E$39:$E$238,$G$39:$G$238,M20,$F$39:$F$238,"Opening balance",$C$39:$C$238,"Completed")+SUMIFS($E$39:$E$238,$G$39:$G$238,M20,$F$39:$F$238,"Income",$C$39:$C$238,"Completed")+SUMIFS($E$39:$E$238,$G$39:$G$238,M20,$F$39:$F$238,"Transfer In",$C$39:$C$238,"Completed")-SUMIFS($E$39:$E$238,$G$39:$G$238,M20,$F$39:$F$238,"Expense",$C$39:$C$238,"Completed")-SUMIFS($E$39:$E$238,$G$39:$G$238,M20,$F$39:$F$238,"Transfer Out",$C$39:$C$238,"Completed")</f>
        <v>131</v>
      </c>
    </row>
    <row r="21" spans="2:14" x14ac:dyDescent="0.35">
      <c r="B21" s="37" t="s">
        <v>78</v>
      </c>
      <c r="C21" s="41"/>
      <c r="F21" s="39"/>
      <c r="H21" t="s">
        <v>49</v>
      </c>
      <c r="I21" s="40">
        <v>80</v>
      </c>
      <c r="J21" s="39">
        <f t="shared" si="0"/>
        <v>59</v>
      </c>
      <c r="K21" s="39">
        <f t="shared" si="1"/>
        <v>21</v>
      </c>
      <c r="N21" s="39"/>
    </row>
    <row r="22" spans="2:14" x14ac:dyDescent="0.35">
      <c r="B22" s="37" t="s">
        <v>78</v>
      </c>
      <c r="C22" s="41"/>
      <c r="F22" s="39"/>
      <c r="H22" t="s">
        <v>50</v>
      </c>
      <c r="I22" s="40">
        <v>25</v>
      </c>
      <c r="J22" s="39">
        <f t="shared" si="0"/>
        <v>24</v>
      </c>
      <c r="K22" s="39">
        <f t="shared" si="1"/>
        <v>1</v>
      </c>
      <c r="M22" s="42" t="s">
        <v>17</v>
      </c>
      <c r="N22" s="43">
        <f>SUM(N16:N20)</f>
        <v>12097.54</v>
      </c>
    </row>
    <row r="23" spans="2:14" x14ac:dyDescent="0.35">
      <c r="B23" s="37" t="s">
        <v>78</v>
      </c>
      <c r="C23" s="41"/>
      <c r="F23" s="39"/>
      <c r="H23" t="s">
        <v>51</v>
      </c>
      <c r="I23" s="40">
        <v>60</v>
      </c>
      <c r="J23" s="39">
        <f t="shared" si="0"/>
        <v>37.299999999999997</v>
      </c>
      <c r="K23" s="39">
        <f t="shared" si="1"/>
        <v>22.700000000000003</v>
      </c>
      <c r="N23" s="39"/>
    </row>
    <row r="24" spans="2:14" x14ac:dyDescent="0.35">
      <c r="B24" s="37" t="s">
        <v>78</v>
      </c>
      <c r="C24" s="41"/>
      <c r="F24" s="39"/>
      <c r="H24" t="s">
        <v>52</v>
      </c>
      <c r="I24" s="40">
        <v>100</v>
      </c>
      <c r="J24" s="39">
        <f t="shared" si="0"/>
        <v>80</v>
      </c>
      <c r="K24" s="39">
        <f t="shared" si="1"/>
        <v>20</v>
      </c>
      <c r="N24" s="39"/>
    </row>
    <row r="25" spans="2:14" x14ac:dyDescent="0.35">
      <c r="B25" s="37" t="s">
        <v>78</v>
      </c>
      <c r="C25" s="41"/>
      <c r="F25" s="39"/>
      <c r="H25" t="s">
        <v>82</v>
      </c>
      <c r="I25" s="40">
        <v>600</v>
      </c>
      <c r="J25" s="39">
        <f>SUMIFS($E$39:$E$238,$D$39:$D$238,"Savings transfer",$F$39:$F$238,"Transfer Out",$C$39:$C$238,"Completed")+SUMIFS($E$39:$E$238,$D$39:$D$238,"Investment transfer",$F$39:$F$238,"Transfer Out",$C$39:$C$238,"Completed")</f>
        <v>600</v>
      </c>
      <c r="K25" s="39">
        <f t="shared" si="1"/>
        <v>0</v>
      </c>
      <c r="N25" s="39"/>
    </row>
    <row r="26" spans="2:14" x14ac:dyDescent="0.35">
      <c r="B26" s="37" t="s">
        <v>78</v>
      </c>
      <c r="C26" s="41"/>
      <c r="F26" s="39"/>
      <c r="I26" s="39"/>
      <c r="J26" s="39"/>
      <c r="K26" s="39"/>
      <c r="N26" s="39"/>
    </row>
    <row r="27" spans="2:14" x14ac:dyDescent="0.35">
      <c r="B27" s="37" t="s">
        <v>78</v>
      </c>
      <c r="C27" s="41"/>
      <c r="E27" t="s">
        <v>83</v>
      </c>
      <c r="F27" s="39">
        <f>F28-I28</f>
        <v>1085</v>
      </c>
      <c r="I27" s="39"/>
      <c r="J27" s="39"/>
      <c r="K27" s="39"/>
      <c r="N27" s="39"/>
    </row>
    <row r="28" spans="2:14" x14ac:dyDescent="0.35">
      <c r="B28" s="37" t="s">
        <v>78</v>
      </c>
      <c r="C28" s="41"/>
      <c r="E28" s="44" t="s">
        <v>84</v>
      </c>
      <c r="F28" s="45">
        <f>SUM(F16:F26)</f>
        <v>3030</v>
      </c>
      <c r="H28" s="44" t="s">
        <v>84</v>
      </c>
      <c r="I28" s="45">
        <f>SUM(I16:I27)</f>
        <v>1945</v>
      </c>
      <c r="J28" s="45">
        <f>SUM(J16:J27)</f>
        <v>1846.23</v>
      </c>
      <c r="K28" s="45">
        <f>SUM(K16:K27)</f>
        <v>98.77000000000001</v>
      </c>
      <c r="M28" s="46"/>
      <c r="N28" s="47"/>
    </row>
    <row r="33" spans="1:14" x14ac:dyDescent="0.35">
      <c r="A33" s="42" t="s">
        <v>84</v>
      </c>
      <c r="B33" s="48">
        <f>N22</f>
        <v>12097.54</v>
      </c>
      <c r="C33" s="49">
        <f>N22*USD_Rate</f>
        <v>13065.343200000001</v>
      </c>
      <c r="D33" s="50">
        <f>N22*GBP_Rate</f>
        <v>10282.909</v>
      </c>
      <c r="E33" s="51">
        <f>N22*FX_Rate</f>
        <v>459706.52</v>
      </c>
    </row>
    <row r="38" spans="1:14" ht="15.5" x14ac:dyDescent="0.35">
      <c r="A38" s="52" t="s">
        <v>85</v>
      </c>
      <c r="B38" s="52" t="s">
        <v>86</v>
      </c>
      <c r="C38" s="52" t="s">
        <v>28</v>
      </c>
      <c r="D38" s="52" t="s">
        <v>23</v>
      </c>
      <c r="E38" s="52" t="s">
        <v>22</v>
      </c>
      <c r="F38" s="52" t="s">
        <v>29</v>
      </c>
      <c r="G38" s="52" t="s">
        <v>30</v>
      </c>
      <c r="H38" s="52" t="s">
        <v>87</v>
      </c>
      <c r="J38" s="53" t="s">
        <v>88</v>
      </c>
    </row>
    <row r="39" spans="1:14" x14ac:dyDescent="0.35">
      <c r="A39" s="54">
        <v>46053</v>
      </c>
      <c r="B39" s="25" t="s">
        <v>89</v>
      </c>
      <c r="C39" s="25" t="s">
        <v>32</v>
      </c>
      <c r="D39" s="25" t="s">
        <v>47</v>
      </c>
      <c r="E39" s="40">
        <f>Jan2026_Main_End</f>
        <v>2918.2700000000004</v>
      </c>
      <c r="F39" s="25" t="s">
        <v>47</v>
      </c>
      <c r="G39" s="25" t="s">
        <v>34</v>
      </c>
      <c r="H39" s="25"/>
      <c r="J39" s="23" t="s">
        <v>90</v>
      </c>
      <c r="K39" s="23" t="s">
        <v>91</v>
      </c>
      <c r="L39" s="23" t="s">
        <v>92</v>
      </c>
      <c r="M39" s="23" t="s">
        <v>93</v>
      </c>
      <c r="N39" s="23" t="s">
        <v>94</v>
      </c>
    </row>
    <row r="40" spans="1:14" x14ac:dyDescent="0.35">
      <c r="A40" s="54">
        <v>46053</v>
      </c>
      <c r="B40" s="25" t="s">
        <v>95</v>
      </c>
      <c r="C40" s="25" t="s">
        <v>32</v>
      </c>
      <c r="D40" s="25" t="s">
        <v>47</v>
      </c>
      <c r="E40" s="40">
        <f>Jan2026_Savings_End</f>
        <v>1500</v>
      </c>
      <c r="F40" s="25" t="s">
        <v>47</v>
      </c>
      <c r="G40" s="25" t="s">
        <v>39</v>
      </c>
      <c r="H40" s="25"/>
      <c r="J40" s="25" t="s">
        <v>96</v>
      </c>
      <c r="K40" s="25" t="s">
        <v>97</v>
      </c>
      <c r="L40" s="25"/>
      <c r="M40" s="55">
        <v>45</v>
      </c>
      <c r="N40" s="25" t="s">
        <v>98</v>
      </c>
    </row>
    <row r="41" spans="1:14" x14ac:dyDescent="0.35">
      <c r="A41" s="54">
        <v>46053</v>
      </c>
      <c r="B41" s="25" t="s">
        <v>99</v>
      </c>
      <c r="C41" s="25" t="s">
        <v>32</v>
      </c>
      <c r="D41" s="25" t="s">
        <v>47</v>
      </c>
      <c r="E41" s="40">
        <f>Jan2026_Emergency_End</f>
        <v>3100</v>
      </c>
      <c r="F41" s="25" t="s">
        <v>47</v>
      </c>
      <c r="G41" s="25" t="s">
        <v>42</v>
      </c>
      <c r="H41" s="25"/>
      <c r="J41" s="25" t="s">
        <v>100</v>
      </c>
      <c r="K41" s="25" t="s">
        <v>101</v>
      </c>
      <c r="L41" s="25"/>
      <c r="M41" s="55">
        <v>12.5</v>
      </c>
      <c r="N41" s="25" t="s">
        <v>102</v>
      </c>
    </row>
    <row r="42" spans="1:14" x14ac:dyDescent="0.35">
      <c r="A42" s="54">
        <v>46053</v>
      </c>
      <c r="B42" s="25" t="s">
        <v>103</v>
      </c>
      <c r="C42" s="25" t="s">
        <v>32</v>
      </c>
      <c r="D42" s="25" t="s">
        <v>47</v>
      </c>
      <c r="E42" s="40">
        <f>Jan2026_Investment_End</f>
        <v>2700</v>
      </c>
      <c r="F42" s="25" t="s">
        <v>47</v>
      </c>
      <c r="G42" s="25" t="s">
        <v>45</v>
      </c>
      <c r="H42" s="25"/>
      <c r="J42" s="25" t="s">
        <v>104</v>
      </c>
      <c r="K42" s="25" t="s">
        <v>105</v>
      </c>
      <c r="L42" s="25"/>
      <c r="M42" s="55">
        <v>30</v>
      </c>
      <c r="N42" s="25" t="s">
        <v>98</v>
      </c>
    </row>
    <row r="43" spans="1:14" x14ac:dyDescent="0.35">
      <c r="A43" s="54">
        <v>46053</v>
      </c>
      <c r="B43" s="25" t="s">
        <v>106</v>
      </c>
      <c r="C43" s="25" t="s">
        <v>32</v>
      </c>
      <c r="D43" s="25" t="s">
        <v>47</v>
      </c>
      <c r="E43" s="40">
        <f>Jan2026_Cash_End</f>
        <v>95.5</v>
      </c>
      <c r="F43" s="25" t="s">
        <v>47</v>
      </c>
      <c r="G43" s="25" t="s">
        <v>48</v>
      </c>
      <c r="H43" s="25"/>
      <c r="J43" s="25" t="s">
        <v>107</v>
      </c>
      <c r="K43" s="25" t="s">
        <v>108</v>
      </c>
      <c r="L43" s="25" t="s">
        <v>109</v>
      </c>
      <c r="M43" s="55">
        <v>26.25</v>
      </c>
      <c r="N43" s="25" t="s">
        <v>98</v>
      </c>
    </row>
    <row r="44" spans="1:14" x14ac:dyDescent="0.35">
      <c r="A44" s="54">
        <v>46054</v>
      </c>
      <c r="B44" s="25" t="s">
        <v>110</v>
      </c>
      <c r="C44" s="25" t="s">
        <v>32</v>
      </c>
      <c r="D44" s="25" t="s">
        <v>33</v>
      </c>
      <c r="E44" s="40">
        <v>640</v>
      </c>
      <c r="F44" s="25" t="s">
        <v>38</v>
      </c>
      <c r="G44" s="25" t="s">
        <v>34</v>
      </c>
      <c r="H44" s="25" t="s">
        <v>111</v>
      </c>
    </row>
    <row r="45" spans="1:14" x14ac:dyDescent="0.35">
      <c r="A45" s="54">
        <v>46054</v>
      </c>
      <c r="B45" s="25" t="s">
        <v>112</v>
      </c>
      <c r="C45" s="25" t="s">
        <v>32</v>
      </c>
      <c r="D45" s="25" t="s">
        <v>43</v>
      </c>
      <c r="E45" s="40">
        <v>30</v>
      </c>
      <c r="F45" s="25" t="s">
        <v>38</v>
      </c>
      <c r="G45" s="25" t="s">
        <v>34</v>
      </c>
      <c r="H45" s="25"/>
    </row>
    <row r="46" spans="1:14" x14ac:dyDescent="0.35">
      <c r="A46" s="54">
        <v>46055</v>
      </c>
      <c r="B46" s="25" t="s">
        <v>113</v>
      </c>
      <c r="C46" s="25" t="s">
        <v>32</v>
      </c>
      <c r="D46" s="25" t="s">
        <v>37</v>
      </c>
      <c r="E46" s="40">
        <v>32.4</v>
      </c>
      <c r="F46" s="25" t="s">
        <v>38</v>
      </c>
      <c r="G46" s="25" t="s">
        <v>34</v>
      </c>
      <c r="H46" s="25"/>
    </row>
    <row r="47" spans="1:14" x14ac:dyDescent="0.35">
      <c r="A47" s="54">
        <v>46055</v>
      </c>
      <c r="B47" s="25" t="s">
        <v>114</v>
      </c>
      <c r="C47" s="25" t="s">
        <v>32</v>
      </c>
      <c r="D47" s="25" t="s">
        <v>46</v>
      </c>
      <c r="E47" s="40">
        <v>11.99</v>
      </c>
      <c r="F47" s="25" t="s">
        <v>38</v>
      </c>
      <c r="G47" s="25" t="s">
        <v>34</v>
      </c>
      <c r="H47" s="25"/>
    </row>
    <row r="48" spans="1:14" x14ac:dyDescent="0.35">
      <c r="A48" s="54">
        <v>46055</v>
      </c>
      <c r="B48" s="25" t="s">
        <v>115</v>
      </c>
      <c r="C48" s="25" t="s">
        <v>32</v>
      </c>
      <c r="D48" s="25" t="s">
        <v>46</v>
      </c>
      <c r="E48" s="40">
        <v>2.99</v>
      </c>
      <c r="F48" s="25" t="s">
        <v>38</v>
      </c>
      <c r="G48" s="25" t="s">
        <v>34</v>
      </c>
      <c r="H48" s="25"/>
    </row>
    <row r="49" spans="1:13" x14ac:dyDescent="0.35">
      <c r="A49" s="54">
        <v>46056</v>
      </c>
      <c r="B49" s="25" t="s">
        <v>116</v>
      </c>
      <c r="C49" s="25" t="s">
        <v>32</v>
      </c>
      <c r="D49" s="25" t="s">
        <v>56</v>
      </c>
      <c r="E49" s="40">
        <v>800</v>
      </c>
      <c r="F49" s="25" t="s">
        <v>13</v>
      </c>
      <c r="G49" s="25" t="s">
        <v>34</v>
      </c>
      <c r="H49" s="25"/>
    </row>
    <row r="50" spans="1:13" x14ac:dyDescent="0.35">
      <c r="A50" s="54">
        <v>46056</v>
      </c>
      <c r="B50" s="25" t="s">
        <v>117</v>
      </c>
      <c r="C50" s="25" t="s">
        <v>32</v>
      </c>
      <c r="D50" s="25" t="s">
        <v>50</v>
      </c>
      <c r="E50" s="40">
        <v>24</v>
      </c>
      <c r="F50" s="25" t="s">
        <v>38</v>
      </c>
      <c r="G50" s="25" t="s">
        <v>34</v>
      </c>
      <c r="H50" s="25"/>
      <c r="J50" s="42" t="s">
        <v>118</v>
      </c>
      <c r="M50" s="43">
        <f>SUMIF(N40:N49,"No",M40:M49)</f>
        <v>101.25</v>
      </c>
    </row>
    <row r="51" spans="1:13" x14ac:dyDescent="0.35">
      <c r="A51" s="54">
        <v>46057</v>
      </c>
      <c r="B51" s="25" t="s">
        <v>119</v>
      </c>
      <c r="C51" s="25" t="s">
        <v>32</v>
      </c>
      <c r="D51" s="25" t="s">
        <v>40</v>
      </c>
      <c r="E51" s="40">
        <v>15.8</v>
      </c>
      <c r="F51" s="25" t="s">
        <v>38</v>
      </c>
      <c r="G51" s="25" t="s">
        <v>34</v>
      </c>
      <c r="H51" s="25"/>
    </row>
    <row r="52" spans="1:13" x14ac:dyDescent="0.35">
      <c r="A52" s="54">
        <v>46058</v>
      </c>
      <c r="B52" s="25" t="s">
        <v>120</v>
      </c>
      <c r="C52" s="25" t="s">
        <v>32</v>
      </c>
      <c r="D52" s="25" t="s">
        <v>53</v>
      </c>
      <c r="E52" s="40">
        <v>1350</v>
      </c>
      <c r="F52" s="25" t="s">
        <v>13</v>
      </c>
      <c r="G52" s="25" t="s">
        <v>34</v>
      </c>
      <c r="H52" s="25"/>
    </row>
    <row r="53" spans="1:13" x14ac:dyDescent="0.35">
      <c r="A53" s="54">
        <v>46059</v>
      </c>
      <c r="B53" s="25" t="s">
        <v>113</v>
      </c>
      <c r="C53" s="25" t="s">
        <v>32</v>
      </c>
      <c r="D53" s="25" t="s">
        <v>37</v>
      </c>
      <c r="E53" s="40">
        <v>18.75</v>
      </c>
      <c r="F53" s="25" t="s">
        <v>38</v>
      </c>
      <c r="G53" s="25" t="s">
        <v>34</v>
      </c>
      <c r="H53" s="25"/>
    </row>
    <row r="54" spans="1:13" x14ac:dyDescent="0.35">
      <c r="A54" s="54">
        <v>46059</v>
      </c>
      <c r="B54" s="25" t="s">
        <v>59</v>
      </c>
      <c r="C54" s="25" t="s">
        <v>32</v>
      </c>
      <c r="D54" s="25" t="s">
        <v>59</v>
      </c>
      <c r="E54" s="40">
        <v>50</v>
      </c>
      <c r="F54" s="25" t="s">
        <v>44</v>
      </c>
      <c r="G54" s="25" t="s">
        <v>34</v>
      </c>
      <c r="H54" s="25"/>
    </row>
    <row r="55" spans="1:13" x14ac:dyDescent="0.35">
      <c r="A55" s="54">
        <v>46059</v>
      </c>
      <c r="B55" s="25" t="s">
        <v>59</v>
      </c>
      <c r="C55" s="25" t="s">
        <v>32</v>
      </c>
      <c r="D55" s="25" t="s">
        <v>59</v>
      </c>
      <c r="E55" s="40">
        <v>50</v>
      </c>
      <c r="F55" s="25" t="s">
        <v>41</v>
      </c>
      <c r="G55" s="25" t="s">
        <v>48</v>
      </c>
      <c r="H55" s="25"/>
    </row>
    <row r="56" spans="1:13" x14ac:dyDescent="0.35">
      <c r="A56" s="54">
        <v>46060</v>
      </c>
      <c r="B56" s="25" t="s">
        <v>121</v>
      </c>
      <c r="C56" s="25" t="s">
        <v>32</v>
      </c>
      <c r="D56" s="25" t="s">
        <v>46</v>
      </c>
      <c r="E56" s="40">
        <v>15</v>
      </c>
      <c r="F56" s="25" t="s">
        <v>38</v>
      </c>
      <c r="G56" s="25" t="s">
        <v>34</v>
      </c>
      <c r="H56" s="25"/>
    </row>
    <row r="57" spans="1:13" x14ac:dyDescent="0.35">
      <c r="A57" s="54">
        <v>46061</v>
      </c>
      <c r="B57" s="25" t="s">
        <v>122</v>
      </c>
      <c r="C57" s="25" t="s">
        <v>32</v>
      </c>
      <c r="D57" s="25" t="s">
        <v>52</v>
      </c>
      <c r="E57" s="40">
        <v>80</v>
      </c>
      <c r="F57" s="25" t="s">
        <v>38</v>
      </c>
      <c r="G57" s="25" t="s">
        <v>34</v>
      </c>
      <c r="H57" s="25" t="s">
        <v>111</v>
      </c>
    </row>
    <row r="58" spans="1:13" x14ac:dyDescent="0.35">
      <c r="A58" s="54">
        <v>46062</v>
      </c>
      <c r="B58" s="25" t="s">
        <v>123</v>
      </c>
      <c r="C58" s="25" t="s">
        <v>32</v>
      </c>
      <c r="D58" s="25" t="s">
        <v>37</v>
      </c>
      <c r="E58" s="40">
        <v>14.5</v>
      </c>
      <c r="F58" s="25" t="s">
        <v>38</v>
      </c>
      <c r="G58" s="25" t="s">
        <v>48</v>
      </c>
      <c r="H58" s="25"/>
    </row>
    <row r="59" spans="1:13" x14ac:dyDescent="0.35">
      <c r="A59" s="54">
        <v>46063</v>
      </c>
      <c r="B59" s="25" t="s">
        <v>113</v>
      </c>
      <c r="C59" s="25" t="s">
        <v>32</v>
      </c>
      <c r="D59" s="25" t="s">
        <v>37</v>
      </c>
      <c r="E59" s="40">
        <v>41.2</v>
      </c>
      <c r="F59" s="25" t="s">
        <v>38</v>
      </c>
      <c r="G59" s="25" t="s">
        <v>34</v>
      </c>
      <c r="H59" s="25"/>
    </row>
    <row r="60" spans="1:13" x14ac:dyDescent="0.35">
      <c r="A60" s="54">
        <v>46064</v>
      </c>
      <c r="B60" s="25" t="s">
        <v>124</v>
      </c>
      <c r="C60" s="25" t="s">
        <v>32</v>
      </c>
      <c r="D60" s="25" t="s">
        <v>40</v>
      </c>
      <c r="E60" s="40">
        <v>28</v>
      </c>
      <c r="F60" s="25" t="s">
        <v>38</v>
      </c>
      <c r="G60" s="25" t="s">
        <v>34</v>
      </c>
      <c r="H60" s="25"/>
    </row>
    <row r="61" spans="1:13" x14ac:dyDescent="0.35">
      <c r="A61" s="54">
        <v>46065</v>
      </c>
      <c r="B61" s="25" t="s">
        <v>125</v>
      </c>
      <c r="C61" s="25" t="s">
        <v>32</v>
      </c>
      <c r="D61" s="25" t="s">
        <v>54</v>
      </c>
      <c r="E61" s="40">
        <v>500</v>
      </c>
      <c r="F61" s="25" t="s">
        <v>13</v>
      </c>
      <c r="G61" s="25" t="s">
        <v>34</v>
      </c>
      <c r="H61" s="25" t="s">
        <v>126</v>
      </c>
    </row>
    <row r="62" spans="1:13" x14ac:dyDescent="0.35">
      <c r="A62" s="54">
        <v>46066</v>
      </c>
      <c r="B62" s="25" t="s">
        <v>127</v>
      </c>
      <c r="C62" s="25" t="s">
        <v>32</v>
      </c>
      <c r="D62" s="25" t="s">
        <v>51</v>
      </c>
      <c r="E62" s="40">
        <v>12.3</v>
      </c>
      <c r="F62" s="25" t="s">
        <v>38</v>
      </c>
      <c r="G62" s="25" t="s">
        <v>34</v>
      </c>
      <c r="H62" s="25"/>
    </row>
    <row r="63" spans="1:13" x14ac:dyDescent="0.35">
      <c r="A63" s="54">
        <v>46067</v>
      </c>
      <c r="B63" s="25" t="s">
        <v>113</v>
      </c>
      <c r="C63" s="25" t="s">
        <v>32</v>
      </c>
      <c r="D63" s="25" t="s">
        <v>37</v>
      </c>
      <c r="E63" s="40">
        <v>27.9</v>
      </c>
      <c r="F63" s="25" t="s">
        <v>38</v>
      </c>
      <c r="G63" s="25" t="s">
        <v>34</v>
      </c>
      <c r="H63" s="25"/>
    </row>
    <row r="64" spans="1:13" x14ac:dyDescent="0.35">
      <c r="A64" s="54">
        <v>46068</v>
      </c>
      <c r="B64" s="25" t="s">
        <v>128</v>
      </c>
      <c r="C64" s="25" t="s">
        <v>32</v>
      </c>
      <c r="D64" s="25" t="s">
        <v>55</v>
      </c>
      <c r="E64" s="40">
        <v>380</v>
      </c>
      <c r="F64" s="25" t="s">
        <v>13</v>
      </c>
      <c r="G64" s="25" t="s">
        <v>34</v>
      </c>
      <c r="H64" s="25"/>
    </row>
    <row r="65" spans="1:8" x14ac:dyDescent="0.35">
      <c r="A65" s="54">
        <v>46069</v>
      </c>
      <c r="B65" s="25" t="s">
        <v>129</v>
      </c>
      <c r="C65" s="25" t="s">
        <v>32</v>
      </c>
      <c r="D65" s="25" t="s">
        <v>49</v>
      </c>
      <c r="E65" s="40">
        <v>59</v>
      </c>
      <c r="F65" s="25" t="s">
        <v>38</v>
      </c>
      <c r="G65" s="25" t="s">
        <v>34</v>
      </c>
      <c r="H65" s="25"/>
    </row>
    <row r="66" spans="1:8" x14ac:dyDescent="0.35">
      <c r="A66" s="54">
        <v>46069</v>
      </c>
      <c r="B66" s="25" t="s">
        <v>130</v>
      </c>
      <c r="C66" s="25" t="s">
        <v>32</v>
      </c>
      <c r="D66" s="25" t="s">
        <v>57</v>
      </c>
      <c r="E66" s="40">
        <v>300</v>
      </c>
      <c r="F66" s="25" t="s">
        <v>44</v>
      </c>
      <c r="G66" s="25" t="s">
        <v>34</v>
      </c>
      <c r="H66" s="25"/>
    </row>
    <row r="67" spans="1:8" x14ac:dyDescent="0.35">
      <c r="A67" s="54">
        <v>46069</v>
      </c>
      <c r="B67" s="25" t="s">
        <v>130</v>
      </c>
      <c r="C67" s="25" t="s">
        <v>32</v>
      </c>
      <c r="D67" s="25" t="s">
        <v>57</v>
      </c>
      <c r="E67" s="40">
        <v>300</v>
      </c>
      <c r="F67" s="25" t="s">
        <v>41</v>
      </c>
      <c r="G67" s="25" t="s">
        <v>39</v>
      </c>
      <c r="H67" s="25"/>
    </row>
    <row r="68" spans="1:8" x14ac:dyDescent="0.35">
      <c r="A68" s="54">
        <v>46069</v>
      </c>
      <c r="B68" s="25" t="s">
        <v>131</v>
      </c>
      <c r="C68" s="25" t="s">
        <v>32</v>
      </c>
      <c r="D68" s="25" t="s">
        <v>57</v>
      </c>
      <c r="E68" s="40">
        <v>100</v>
      </c>
      <c r="F68" s="25" t="s">
        <v>44</v>
      </c>
      <c r="G68" s="25" t="s">
        <v>34</v>
      </c>
      <c r="H68" s="25"/>
    </row>
    <row r="69" spans="1:8" x14ac:dyDescent="0.35">
      <c r="A69" s="54">
        <v>46069</v>
      </c>
      <c r="B69" s="25" t="s">
        <v>131</v>
      </c>
      <c r="C69" s="25" t="s">
        <v>32</v>
      </c>
      <c r="D69" s="25" t="s">
        <v>57</v>
      </c>
      <c r="E69" s="40">
        <v>100</v>
      </c>
      <c r="F69" s="25" t="s">
        <v>41</v>
      </c>
      <c r="G69" s="25" t="s">
        <v>42</v>
      </c>
      <c r="H69" s="25"/>
    </row>
    <row r="70" spans="1:8" x14ac:dyDescent="0.35">
      <c r="A70" s="54">
        <v>46070</v>
      </c>
      <c r="B70" s="25" t="s">
        <v>132</v>
      </c>
      <c r="C70" s="25" t="s">
        <v>32</v>
      </c>
      <c r="D70" s="25" t="s">
        <v>58</v>
      </c>
      <c r="E70" s="40">
        <v>200</v>
      </c>
      <c r="F70" s="25" t="s">
        <v>44</v>
      </c>
      <c r="G70" s="25" t="s">
        <v>34</v>
      </c>
      <c r="H70" s="25"/>
    </row>
    <row r="71" spans="1:8" x14ac:dyDescent="0.35">
      <c r="A71" s="54">
        <v>46070</v>
      </c>
      <c r="B71" s="25" t="s">
        <v>132</v>
      </c>
      <c r="C71" s="25" t="s">
        <v>32</v>
      </c>
      <c r="D71" s="25" t="s">
        <v>58</v>
      </c>
      <c r="E71" s="40">
        <v>200</v>
      </c>
      <c r="F71" s="25" t="s">
        <v>41</v>
      </c>
      <c r="G71" s="25" t="s">
        <v>45</v>
      </c>
      <c r="H71" s="25"/>
    </row>
    <row r="72" spans="1:8" x14ac:dyDescent="0.35">
      <c r="A72" s="54">
        <v>46071</v>
      </c>
      <c r="B72" s="25" t="s">
        <v>133</v>
      </c>
      <c r="C72" s="25" t="s">
        <v>32</v>
      </c>
      <c r="D72" s="25" t="s">
        <v>40</v>
      </c>
      <c r="E72" s="40">
        <v>9.5</v>
      </c>
      <c r="F72" s="25" t="s">
        <v>38</v>
      </c>
      <c r="G72" s="25" t="s">
        <v>34</v>
      </c>
      <c r="H72" s="25"/>
    </row>
    <row r="73" spans="1:8" x14ac:dyDescent="0.35">
      <c r="A73" s="54">
        <v>46072</v>
      </c>
      <c r="B73" s="25" t="s">
        <v>113</v>
      </c>
      <c r="C73" s="25" t="s">
        <v>32</v>
      </c>
      <c r="D73" s="25" t="s">
        <v>37</v>
      </c>
      <c r="E73" s="40">
        <v>52.3</v>
      </c>
      <c r="F73" s="25" t="s">
        <v>38</v>
      </c>
      <c r="G73" s="25" t="s">
        <v>34</v>
      </c>
      <c r="H73" s="25"/>
    </row>
    <row r="74" spans="1:8" x14ac:dyDescent="0.35">
      <c r="A74" s="54">
        <v>46073</v>
      </c>
      <c r="B74" s="25" t="s">
        <v>134</v>
      </c>
      <c r="C74" s="25" t="s">
        <v>32</v>
      </c>
      <c r="D74" s="25" t="s">
        <v>43</v>
      </c>
      <c r="E74" s="40">
        <v>24.5</v>
      </c>
      <c r="F74" s="25" t="s">
        <v>38</v>
      </c>
      <c r="G74" s="25" t="s">
        <v>34</v>
      </c>
      <c r="H74" s="25"/>
    </row>
    <row r="75" spans="1:8" x14ac:dyDescent="0.35">
      <c r="A75" s="54">
        <v>46074</v>
      </c>
      <c r="B75" s="25" t="s">
        <v>135</v>
      </c>
      <c r="C75" s="25" t="s">
        <v>32</v>
      </c>
      <c r="D75" s="25" t="s">
        <v>51</v>
      </c>
      <c r="E75" s="40">
        <v>25</v>
      </c>
      <c r="F75" s="25" t="s">
        <v>38</v>
      </c>
      <c r="G75" s="25" t="s">
        <v>34</v>
      </c>
      <c r="H75" s="25"/>
    </row>
    <row r="76" spans="1:8" x14ac:dyDescent="0.35">
      <c r="A76" s="54">
        <v>46076</v>
      </c>
      <c r="B76" s="25" t="s">
        <v>113</v>
      </c>
      <c r="C76" s="25" t="s">
        <v>32</v>
      </c>
      <c r="D76" s="25" t="s">
        <v>37</v>
      </c>
      <c r="E76" s="40">
        <v>22.1</v>
      </c>
      <c r="F76" s="25" t="s">
        <v>38</v>
      </c>
      <c r="G76" s="25" t="s">
        <v>34</v>
      </c>
      <c r="H76" s="25"/>
    </row>
    <row r="77" spans="1:8" x14ac:dyDescent="0.35">
      <c r="A77" s="54">
        <v>46078</v>
      </c>
      <c r="B77" s="25" t="s">
        <v>119</v>
      </c>
      <c r="C77" s="25" t="s">
        <v>32</v>
      </c>
      <c r="D77" s="25" t="s">
        <v>40</v>
      </c>
      <c r="E77" s="40">
        <v>22.4</v>
      </c>
      <c r="F77" s="25" t="s">
        <v>38</v>
      </c>
      <c r="G77" s="25" t="s">
        <v>34</v>
      </c>
      <c r="H77" s="25"/>
    </row>
    <row r="78" spans="1:8" x14ac:dyDescent="0.35">
      <c r="A78" s="54">
        <v>46080</v>
      </c>
      <c r="B78" s="25" t="s">
        <v>136</v>
      </c>
      <c r="C78" s="25" t="s">
        <v>36</v>
      </c>
      <c r="D78" s="25" t="s">
        <v>51</v>
      </c>
      <c r="E78" s="40">
        <v>45</v>
      </c>
      <c r="F78" s="25" t="s">
        <v>38</v>
      </c>
      <c r="G78" s="25" t="s">
        <v>34</v>
      </c>
      <c r="H78" s="25" t="s">
        <v>137</v>
      </c>
    </row>
    <row r="79" spans="1:8" x14ac:dyDescent="0.35">
      <c r="A79" s="54">
        <v>46081</v>
      </c>
      <c r="B79" s="25" t="s">
        <v>113</v>
      </c>
      <c r="C79" s="25" t="s">
        <v>32</v>
      </c>
      <c r="D79" s="25" t="s">
        <v>37</v>
      </c>
      <c r="E79" s="40">
        <v>36.6</v>
      </c>
      <c r="F79" s="25" t="s">
        <v>38</v>
      </c>
      <c r="G79" s="25" t="s">
        <v>34</v>
      </c>
      <c r="H79" s="25"/>
    </row>
    <row r="80" spans="1:8" x14ac:dyDescent="0.35">
      <c r="A80" s="56"/>
      <c r="E80" s="39"/>
    </row>
    <row r="81" spans="1:5" x14ac:dyDescent="0.35">
      <c r="A81" s="56"/>
      <c r="E81" s="39"/>
    </row>
    <row r="82" spans="1:5" x14ac:dyDescent="0.35">
      <c r="A82" s="56"/>
      <c r="E82" s="39"/>
    </row>
    <row r="83" spans="1:5" x14ac:dyDescent="0.35">
      <c r="A83" s="56"/>
      <c r="E83" s="39"/>
    </row>
    <row r="84" spans="1:5" x14ac:dyDescent="0.35">
      <c r="A84" s="56"/>
      <c r="E84" s="39"/>
    </row>
    <row r="85" spans="1:5" x14ac:dyDescent="0.35">
      <c r="A85" s="56"/>
      <c r="E85" s="39"/>
    </row>
    <row r="86" spans="1:5" x14ac:dyDescent="0.35">
      <c r="A86" s="56"/>
      <c r="E86" s="39"/>
    </row>
    <row r="87" spans="1:5" x14ac:dyDescent="0.35">
      <c r="A87" s="56"/>
      <c r="E87" s="39"/>
    </row>
    <row r="88" spans="1:5" x14ac:dyDescent="0.35">
      <c r="A88" s="56"/>
      <c r="E88" s="39"/>
    </row>
    <row r="89" spans="1:5" x14ac:dyDescent="0.35">
      <c r="A89" s="56"/>
      <c r="E89" s="39"/>
    </row>
    <row r="90" spans="1:5" x14ac:dyDescent="0.35">
      <c r="A90" s="56"/>
      <c r="E90" s="39"/>
    </row>
    <row r="91" spans="1:5" x14ac:dyDescent="0.35">
      <c r="A91" s="56"/>
      <c r="E91" s="39"/>
    </row>
    <row r="92" spans="1:5" x14ac:dyDescent="0.35">
      <c r="A92" s="56"/>
      <c r="E92" s="39"/>
    </row>
    <row r="93" spans="1:5" x14ac:dyDescent="0.35">
      <c r="A93" s="56"/>
      <c r="E93" s="39"/>
    </row>
    <row r="94" spans="1:5" x14ac:dyDescent="0.35">
      <c r="A94" s="56"/>
      <c r="E94" s="39"/>
    </row>
    <row r="95" spans="1:5" x14ac:dyDescent="0.35">
      <c r="A95" s="56"/>
      <c r="E95" s="39"/>
    </row>
    <row r="96" spans="1:5" x14ac:dyDescent="0.35">
      <c r="A96" s="56"/>
      <c r="E96" s="39"/>
    </row>
    <row r="97" spans="1:5" x14ac:dyDescent="0.35">
      <c r="A97" s="56"/>
      <c r="E97" s="39"/>
    </row>
    <row r="98" spans="1:5" x14ac:dyDescent="0.35">
      <c r="A98" s="56"/>
      <c r="E98" s="39"/>
    </row>
    <row r="99" spans="1:5" x14ac:dyDescent="0.35">
      <c r="A99" s="56"/>
      <c r="E99" s="39"/>
    </row>
    <row r="100" spans="1:5" x14ac:dyDescent="0.35">
      <c r="A100" s="56"/>
      <c r="E100" s="39"/>
    </row>
    <row r="101" spans="1:5" x14ac:dyDescent="0.35">
      <c r="A101" s="56"/>
      <c r="E101" s="39"/>
    </row>
    <row r="102" spans="1:5" x14ac:dyDescent="0.35">
      <c r="A102" s="56"/>
      <c r="E102" s="39"/>
    </row>
    <row r="103" spans="1:5" x14ac:dyDescent="0.35">
      <c r="A103" s="56"/>
      <c r="E103" s="39"/>
    </row>
    <row r="104" spans="1:5" x14ac:dyDescent="0.35">
      <c r="A104" s="56"/>
      <c r="E104" s="39"/>
    </row>
    <row r="105" spans="1:5" x14ac:dyDescent="0.35">
      <c r="A105" s="56"/>
      <c r="E105" s="39"/>
    </row>
    <row r="106" spans="1:5" x14ac:dyDescent="0.35">
      <c r="A106" s="56"/>
      <c r="E106" s="39"/>
    </row>
    <row r="107" spans="1:5" x14ac:dyDescent="0.35">
      <c r="A107" s="56"/>
      <c r="E107" s="39"/>
    </row>
    <row r="108" spans="1:5" x14ac:dyDescent="0.35">
      <c r="A108" s="56"/>
      <c r="E108" s="39"/>
    </row>
    <row r="109" spans="1:5" x14ac:dyDescent="0.35">
      <c r="A109" s="56"/>
      <c r="E109" s="39"/>
    </row>
    <row r="110" spans="1:5" x14ac:dyDescent="0.35">
      <c r="A110" s="56"/>
      <c r="E110" s="39"/>
    </row>
    <row r="111" spans="1:5" x14ac:dyDescent="0.35">
      <c r="A111" s="56"/>
      <c r="E111" s="39"/>
    </row>
    <row r="112" spans="1:5" x14ac:dyDescent="0.35">
      <c r="A112" s="56"/>
      <c r="E112" s="39"/>
    </row>
    <row r="113" spans="1:5" x14ac:dyDescent="0.35">
      <c r="A113" s="56"/>
      <c r="E113" s="39"/>
    </row>
    <row r="114" spans="1:5" x14ac:dyDescent="0.35">
      <c r="A114" s="56"/>
      <c r="E114" s="39"/>
    </row>
    <row r="115" spans="1:5" x14ac:dyDescent="0.35">
      <c r="A115" s="56"/>
      <c r="E115" s="39"/>
    </row>
    <row r="116" spans="1:5" x14ac:dyDescent="0.35">
      <c r="A116" s="56"/>
      <c r="E116" s="39"/>
    </row>
    <row r="117" spans="1:5" x14ac:dyDescent="0.35">
      <c r="A117" s="56"/>
      <c r="E117" s="39"/>
    </row>
    <row r="118" spans="1:5" x14ac:dyDescent="0.35">
      <c r="A118" s="56"/>
      <c r="E118" s="39"/>
    </row>
    <row r="119" spans="1:5" x14ac:dyDescent="0.35">
      <c r="A119" s="56"/>
      <c r="E119" s="39"/>
    </row>
    <row r="120" spans="1:5" x14ac:dyDescent="0.35">
      <c r="A120" s="56"/>
      <c r="E120" s="39"/>
    </row>
    <row r="121" spans="1:5" x14ac:dyDescent="0.35">
      <c r="A121" s="56"/>
      <c r="E121" s="39"/>
    </row>
    <row r="122" spans="1:5" x14ac:dyDescent="0.35">
      <c r="A122" s="56"/>
      <c r="E122" s="39"/>
    </row>
    <row r="123" spans="1:5" x14ac:dyDescent="0.35">
      <c r="A123" s="56"/>
      <c r="E123" s="39"/>
    </row>
    <row r="124" spans="1:5" x14ac:dyDescent="0.35">
      <c r="A124" s="56"/>
      <c r="E124" s="39"/>
    </row>
    <row r="125" spans="1:5" x14ac:dyDescent="0.35">
      <c r="A125" s="56"/>
      <c r="E125" s="39"/>
    </row>
    <row r="126" spans="1:5" x14ac:dyDescent="0.35">
      <c r="A126" s="56"/>
      <c r="E126" s="39"/>
    </row>
    <row r="127" spans="1:5" x14ac:dyDescent="0.35">
      <c r="A127" s="56"/>
      <c r="E127" s="39"/>
    </row>
    <row r="128" spans="1:5" x14ac:dyDescent="0.35">
      <c r="A128" s="56"/>
      <c r="E128" s="39"/>
    </row>
    <row r="129" spans="1:5" x14ac:dyDescent="0.35">
      <c r="A129" s="56"/>
      <c r="E129" s="39"/>
    </row>
    <row r="130" spans="1:5" x14ac:dyDescent="0.35">
      <c r="A130" s="56"/>
      <c r="E130" s="39"/>
    </row>
    <row r="131" spans="1:5" x14ac:dyDescent="0.35">
      <c r="A131" s="56"/>
      <c r="E131" s="39"/>
    </row>
    <row r="132" spans="1:5" x14ac:dyDescent="0.35">
      <c r="A132" s="56"/>
      <c r="E132" s="39"/>
    </row>
    <row r="133" spans="1:5" x14ac:dyDescent="0.35">
      <c r="A133" s="56"/>
      <c r="E133" s="39"/>
    </row>
    <row r="134" spans="1:5" x14ac:dyDescent="0.35">
      <c r="A134" s="56"/>
      <c r="E134" s="39"/>
    </row>
    <row r="135" spans="1:5" x14ac:dyDescent="0.35">
      <c r="A135" s="56"/>
      <c r="E135" s="39"/>
    </row>
    <row r="136" spans="1:5" x14ac:dyDescent="0.35">
      <c r="A136" s="56"/>
      <c r="E136" s="39"/>
    </row>
    <row r="137" spans="1:5" x14ac:dyDescent="0.35">
      <c r="A137" s="56"/>
      <c r="E137" s="39"/>
    </row>
    <row r="138" spans="1:5" x14ac:dyDescent="0.35">
      <c r="A138" s="56"/>
      <c r="E138" s="39"/>
    </row>
    <row r="139" spans="1:5" x14ac:dyDescent="0.35">
      <c r="A139" s="56"/>
      <c r="E139" s="39"/>
    </row>
    <row r="140" spans="1:5" x14ac:dyDescent="0.35">
      <c r="A140" s="56"/>
      <c r="E140" s="39"/>
    </row>
    <row r="141" spans="1:5" x14ac:dyDescent="0.35">
      <c r="A141" s="56"/>
      <c r="E141" s="39"/>
    </row>
    <row r="142" spans="1:5" x14ac:dyDescent="0.35">
      <c r="A142" s="56"/>
      <c r="E142" s="39"/>
    </row>
    <row r="143" spans="1:5" x14ac:dyDescent="0.35">
      <c r="A143" s="56"/>
      <c r="E143" s="39"/>
    </row>
    <row r="144" spans="1:5" x14ac:dyDescent="0.35">
      <c r="A144" s="56"/>
      <c r="E144" s="39"/>
    </row>
    <row r="145" spans="1:5" x14ac:dyDescent="0.35">
      <c r="A145" s="56"/>
      <c r="E145" s="39"/>
    </row>
    <row r="146" spans="1:5" x14ac:dyDescent="0.35">
      <c r="A146" s="56"/>
      <c r="E146" s="39"/>
    </row>
    <row r="147" spans="1:5" x14ac:dyDescent="0.35">
      <c r="A147" s="56"/>
      <c r="E147" s="39"/>
    </row>
    <row r="148" spans="1:5" x14ac:dyDescent="0.35">
      <c r="A148" s="56"/>
      <c r="E148" s="39"/>
    </row>
    <row r="149" spans="1:5" x14ac:dyDescent="0.35">
      <c r="A149" s="56"/>
      <c r="E149" s="39"/>
    </row>
    <row r="150" spans="1:5" x14ac:dyDescent="0.35">
      <c r="A150" s="56"/>
      <c r="E150" s="39"/>
    </row>
    <row r="151" spans="1:5" x14ac:dyDescent="0.35">
      <c r="A151" s="56"/>
      <c r="E151" s="39"/>
    </row>
    <row r="152" spans="1:5" x14ac:dyDescent="0.35">
      <c r="A152" s="56"/>
      <c r="E152" s="39"/>
    </row>
    <row r="153" spans="1:5" x14ac:dyDescent="0.35">
      <c r="A153" s="56"/>
      <c r="E153" s="39"/>
    </row>
    <row r="154" spans="1:5" x14ac:dyDescent="0.35">
      <c r="A154" s="56"/>
      <c r="E154" s="39"/>
    </row>
    <row r="155" spans="1:5" x14ac:dyDescent="0.35">
      <c r="A155" s="56"/>
      <c r="E155" s="39"/>
    </row>
    <row r="156" spans="1:5" x14ac:dyDescent="0.35">
      <c r="A156" s="56"/>
      <c r="E156" s="39"/>
    </row>
    <row r="157" spans="1:5" x14ac:dyDescent="0.35">
      <c r="A157" s="56"/>
      <c r="E157" s="39"/>
    </row>
    <row r="158" spans="1:5" x14ac:dyDescent="0.35">
      <c r="A158" s="56"/>
      <c r="E158" s="39"/>
    </row>
    <row r="159" spans="1:5" x14ac:dyDescent="0.35">
      <c r="A159" s="56"/>
      <c r="E159" s="39"/>
    </row>
    <row r="160" spans="1:5" x14ac:dyDescent="0.35">
      <c r="A160" s="56"/>
      <c r="E160" s="39"/>
    </row>
    <row r="161" spans="1:5" x14ac:dyDescent="0.35">
      <c r="A161" s="56"/>
      <c r="E161" s="39"/>
    </row>
    <row r="162" spans="1:5" x14ac:dyDescent="0.35">
      <c r="A162" s="56"/>
      <c r="E162" s="39"/>
    </row>
    <row r="163" spans="1:5" x14ac:dyDescent="0.35">
      <c r="A163" s="56"/>
      <c r="E163" s="39"/>
    </row>
    <row r="164" spans="1:5" x14ac:dyDescent="0.35">
      <c r="A164" s="56"/>
      <c r="E164" s="39"/>
    </row>
    <row r="165" spans="1:5" x14ac:dyDescent="0.35">
      <c r="A165" s="56"/>
      <c r="E165" s="39"/>
    </row>
    <row r="166" spans="1:5" x14ac:dyDescent="0.35">
      <c r="A166" s="56"/>
      <c r="E166" s="39"/>
    </row>
    <row r="167" spans="1:5" x14ac:dyDescent="0.35">
      <c r="A167" s="56"/>
      <c r="E167" s="39"/>
    </row>
    <row r="168" spans="1:5" x14ac:dyDescent="0.35">
      <c r="A168" s="56"/>
      <c r="E168" s="39"/>
    </row>
    <row r="169" spans="1:5" x14ac:dyDescent="0.35">
      <c r="A169" s="56"/>
      <c r="E169" s="39"/>
    </row>
    <row r="170" spans="1:5" x14ac:dyDescent="0.35">
      <c r="A170" s="56"/>
      <c r="E170" s="39"/>
    </row>
    <row r="171" spans="1:5" x14ac:dyDescent="0.35">
      <c r="A171" s="56"/>
      <c r="E171" s="39"/>
    </row>
    <row r="172" spans="1:5" x14ac:dyDescent="0.35">
      <c r="A172" s="56"/>
      <c r="E172" s="39"/>
    </row>
    <row r="173" spans="1:5" x14ac:dyDescent="0.35">
      <c r="A173" s="56"/>
      <c r="E173" s="39"/>
    </row>
    <row r="174" spans="1:5" x14ac:dyDescent="0.35">
      <c r="A174" s="56"/>
      <c r="E174" s="39"/>
    </row>
    <row r="175" spans="1:5" x14ac:dyDescent="0.35">
      <c r="A175" s="56"/>
      <c r="E175" s="39"/>
    </row>
    <row r="176" spans="1:5" x14ac:dyDescent="0.35">
      <c r="A176" s="56"/>
      <c r="E176" s="39"/>
    </row>
    <row r="177" spans="1:5" x14ac:dyDescent="0.35">
      <c r="A177" s="56"/>
      <c r="E177" s="39"/>
    </row>
    <row r="178" spans="1:5" x14ac:dyDescent="0.35">
      <c r="A178" s="56"/>
      <c r="E178" s="39"/>
    </row>
    <row r="179" spans="1:5" x14ac:dyDescent="0.35">
      <c r="A179" s="56"/>
      <c r="E179" s="39"/>
    </row>
    <row r="180" spans="1:5" x14ac:dyDescent="0.35">
      <c r="A180" s="56"/>
      <c r="E180" s="39"/>
    </row>
    <row r="181" spans="1:5" x14ac:dyDescent="0.35">
      <c r="A181" s="56"/>
      <c r="E181" s="39"/>
    </row>
    <row r="182" spans="1:5" x14ac:dyDescent="0.35">
      <c r="A182" s="56"/>
      <c r="E182" s="39"/>
    </row>
    <row r="183" spans="1:5" x14ac:dyDescent="0.35">
      <c r="A183" s="56"/>
      <c r="E183" s="39"/>
    </row>
    <row r="184" spans="1:5" x14ac:dyDescent="0.35">
      <c r="A184" s="56"/>
      <c r="E184" s="39"/>
    </row>
    <row r="185" spans="1:5" x14ac:dyDescent="0.35">
      <c r="A185" s="56"/>
      <c r="E185" s="39"/>
    </row>
    <row r="186" spans="1:5" x14ac:dyDescent="0.35">
      <c r="A186" s="56"/>
      <c r="E186" s="39"/>
    </row>
    <row r="187" spans="1:5" x14ac:dyDescent="0.35">
      <c r="A187" s="56"/>
      <c r="E187" s="39"/>
    </row>
    <row r="188" spans="1:5" x14ac:dyDescent="0.35">
      <c r="A188" s="56"/>
      <c r="E188" s="39"/>
    </row>
    <row r="189" spans="1:5" x14ac:dyDescent="0.35">
      <c r="A189" s="56"/>
      <c r="E189" s="39"/>
    </row>
    <row r="190" spans="1:5" x14ac:dyDescent="0.35">
      <c r="A190" s="56"/>
      <c r="E190" s="39"/>
    </row>
    <row r="191" spans="1:5" x14ac:dyDescent="0.35">
      <c r="A191" s="56"/>
      <c r="E191" s="39"/>
    </row>
    <row r="192" spans="1:5" x14ac:dyDescent="0.35">
      <c r="A192" s="56"/>
      <c r="E192" s="39"/>
    </row>
    <row r="193" spans="1:5" x14ac:dyDescent="0.35">
      <c r="A193" s="56"/>
      <c r="E193" s="39"/>
    </row>
    <row r="194" spans="1:5" x14ac:dyDescent="0.35">
      <c r="A194" s="56"/>
      <c r="E194" s="39"/>
    </row>
    <row r="195" spans="1:5" x14ac:dyDescent="0.35">
      <c r="A195" s="56"/>
      <c r="E195" s="39"/>
    </row>
    <row r="196" spans="1:5" x14ac:dyDescent="0.35">
      <c r="A196" s="56"/>
      <c r="E196" s="39"/>
    </row>
    <row r="197" spans="1:5" x14ac:dyDescent="0.35">
      <c r="A197" s="56"/>
      <c r="E197" s="39"/>
    </row>
    <row r="198" spans="1:5" x14ac:dyDescent="0.35">
      <c r="A198" s="56"/>
      <c r="E198" s="39"/>
    </row>
    <row r="199" spans="1:5" x14ac:dyDescent="0.35">
      <c r="A199" s="56"/>
      <c r="E199" s="39"/>
    </row>
    <row r="200" spans="1:5" x14ac:dyDescent="0.35">
      <c r="A200" s="56"/>
      <c r="E200" s="39"/>
    </row>
    <row r="201" spans="1:5" x14ac:dyDescent="0.35">
      <c r="A201" s="56"/>
      <c r="E201" s="39"/>
    </row>
    <row r="202" spans="1:5" x14ac:dyDescent="0.35">
      <c r="A202" s="56"/>
      <c r="E202" s="39"/>
    </row>
    <row r="203" spans="1:5" x14ac:dyDescent="0.35">
      <c r="A203" s="56"/>
      <c r="E203" s="39"/>
    </row>
    <row r="204" spans="1:5" x14ac:dyDescent="0.35">
      <c r="A204" s="56"/>
      <c r="E204" s="39"/>
    </row>
    <row r="205" spans="1:5" x14ac:dyDescent="0.35">
      <c r="A205" s="56"/>
      <c r="E205" s="39"/>
    </row>
    <row r="206" spans="1:5" x14ac:dyDescent="0.35">
      <c r="A206" s="56"/>
      <c r="E206" s="39"/>
    </row>
    <row r="207" spans="1:5" x14ac:dyDescent="0.35">
      <c r="A207" s="56"/>
      <c r="E207" s="39"/>
    </row>
    <row r="208" spans="1:5" x14ac:dyDescent="0.35">
      <c r="A208" s="56"/>
      <c r="E208" s="39"/>
    </row>
    <row r="209" spans="1:5" x14ac:dyDescent="0.35">
      <c r="A209" s="56"/>
      <c r="E209" s="39"/>
    </row>
    <row r="210" spans="1:5" x14ac:dyDescent="0.35">
      <c r="A210" s="56"/>
      <c r="E210" s="39"/>
    </row>
    <row r="211" spans="1:5" x14ac:dyDescent="0.35">
      <c r="A211" s="56"/>
      <c r="E211" s="39"/>
    </row>
    <row r="212" spans="1:5" x14ac:dyDescent="0.35">
      <c r="A212" s="56"/>
      <c r="E212" s="39"/>
    </row>
    <row r="213" spans="1:5" x14ac:dyDescent="0.35">
      <c r="A213" s="56"/>
      <c r="E213" s="39"/>
    </row>
    <row r="214" spans="1:5" x14ac:dyDescent="0.35">
      <c r="A214" s="56"/>
      <c r="E214" s="39"/>
    </row>
    <row r="215" spans="1:5" x14ac:dyDescent="0.35">
      <c r="A215" s="56"/>
      <c r="E215" s="39"/>
    </row>
    <row r="216" spans="1:5" x14ac:dyDescent="0.35">
      <c r="A216" s="56"/>
      <c r="E216" s="39"/>
    </row>
    <row r="217" spans="1:5" x14ac:dyDescent="0.35">
      <c r="A217" s="56"/>
      <c r="E217" s="39"/>
    </row>
    <row r="218" spans="1:5" x14ac:dyDescent="0.35">
      <c r="A218" s="56"/>
      <c r="E218" s="39"/>
    </row>
    <row r="219" spans="1:5" x14ac:dyDescent="0.35">
      <c r="A219" s="56"/>
      <c r="E219" s="39"/>
    </row>
    <row r="220" spans="1:5" x14ac:dyDescent="0.35">
      <c r="A220" s="56"/>
      <c r="E220" s="39"/>
    </row>
    <row r="221" spans="1:5" x14ac:dyDescent="0.35">
      <c r="A221" s="56"/>
      <c r="E221" s="39"/>
    </row>
    <row r="222" spans="1:5" x14ac:dyDescent="0.35">
      <c r="A222" s="56"/>
      <c r="E222" s="39"/>
    </row>
    <row r="223" spans="1:5" x14ac:dyDescent="0.35">
      <c r="A223" s="56"/>
      <c r="E223" s="39"/>
    </row>
    <row r="224" spans="1:5" x14ac:dyDescent="0.35">
      <c r="A224" s="56"/>
      <c r="E224" s="39"/>
    </row>
    <row r="225" spans="1:5" x14ac:dyDescent="0.35">
      <c r="A225" s="56"/>
      <c r="E225" s="39"/>
    </row>
    <row r="226" spans="1:5" x14ac:dyDescent="0.35">
      <c r="A226" s="56"/>
      <c r="E226" s="39"/>
    </row>
    <row r="227" spans="1:5" x14ac:dyDescent="0.35">
      <c r="A227" s="56"/>
      <c r="E227" s="39"/>
    </row>
    <row r="228" spans="1:5" x14ac:dyDescent="0.35">
      <c r="A228" s="56"/>
      <c r="E228" s="39"/>
    </row>
    <row r="229" spans="1:5" x14ac:dyDescent="0.35">
      <c r="A229" s="56"/>
      <c r="E229" s="39"/>
    </row>
    <row r="230" spans="1:5" x14ac:dyDescent="0.35">
      <c r="A230" s="56"/>
      <c r="E230" s="39"/>
    </row>
    <row r="231" spans="1:5" x14ac:dyDescent="0.35">
      <c r="A231" s="56"/>
      <c r="E231" s="39"/>
    </row>
    <row r="232" spans="1:5" x14ac:dyDescent="0.35">
      <c r="A232" s="56"/>
      <c r="E232" s="39"/>
    </row>
    <row r="233" spans="1:5" x14ac:dyDescent="0.35">
      <c r="A233" s="56"/>
      <c r="E233" s="39"/>
    </row>
    <row r="234" spans="1:5" x14ac:dyDescent="0.35">
      <c r="A234" s="56"/>
      <c r="E234" s="39"/>
    </row>
    <row r="235" spans="1:5" x14ac:dyDescent="0.35">
      <c r="A235" s="56"/>
      <c r="E235" s="39"/>
    </row>
    <row r="236" spans="1:5" x14ac:dyDescent="0.35">
      <c r="A236" s="56"/>
      <c r="E236" s="39"/>
    </row>
    <row r="237" spans="1:5" x14ac:dyDescent="0.35">
      <c r="A237" s="56"/>
      <c r="E237" s="39"/>
    </row>
    <row r="238" spans="1:5" x14ac:dyDescent="0.35">
      <c r="A238" s="56"/>
      <c r="E238" s="39"/>
    </row>
  </sheetData>
  <mergeCells count="13">
    <mergeCell ref="B15:C15"/>
    <mergeCell ref="B6:C6"/>
    <mergeCell ref="M6:N6"/>
    <mergeCell ref="M7:N8"/>
    <mergeCell ref="M10:N10"/>
    <mergeCell ref="M11:N12"/>
    <mergeCell ref="B2:C4"/>
    <mergeCell ref="E2:F2"/>
    <mergeCell ref="H2:K2"/>
    <mergeCell ref="M2:N2"/>
    <mergeCell ref="E3:F3"/>
    <mergeCell ref="H3:K3"/>
    <mergeCell ref="M3:N4"/>
  </mergeCells>
  <conditionalFormatting sqref="C16:C28">
    <cfRule type="expression" dxfId="8" priority="2">
      <formula>$B16="☑"</formula>
    </cfRule>
  </conditionalFormatting>
  <conditionalFormatting sqref="C39:C238">
    <cfRule type="cellIs" dxfId="7" priority="4" operator="equal">
      <formula>"Completed"</formula>
    </cfRule>
    <cfRule type="cellIs" dxfId="6" priority="5" operator="equal">
      <formula>"Pending"</formula>
    </cfRule>
  </conditionalFormatting>
  <conditionalFormatting sqref="F39:F238">
    <cfRule type="cellIs" dxfId="5" priority="6" operator="equal">
      <formula>"Income"</formula>
    </cfRule>
    <cfRule type="cellIs" dxfId="4" priority="7" operator="equal">
      <formula>"Expense"</formula>
    </cfRule>
    <cfRule type="cellIs" dxfId="3" priority="8" operator="equal">
      <formula>"Transfer In"</formula>
    </cfRule>
    <cfRule type="cellIs" dxfId="2" priority="9" operator="equal">
      <formula>"Transfer Out"</formula>
    </cfRule>
    <cfRule type="cellIs" dxfId="1" priority="10" operator="equal">
      <formula>"Opening balance"</formula>
    </cfRule>
  </conditionalFormatting>
  <conditionalFormatting sqref="K16:K25">
    <cfRule type="cellIs" dxfId="0" priority="3" operator="lessThan">
      <formula>0</formula>
    </cfRule>
  </conditionalFormatting>
  <dataValidations count="6">
    <dataValidation type="list" sqref="B16:B28" xr:uid="{00000000-0002-0000-0500-000000000000}">
      <formula1>"☐,☑"</formula1>
      <formula2>0</formula2>
    </dataValidation>
    <dataValidation type="list" sqref="N40:N49" xr:uid="{00000000-0002-0000-0500-000001000000}">
      <formula1>"Yes,No"</formula1>
      <formula2>0</formula2>
    </dataValidation>
    <dataValidation type="list" allowBlank="1" showErrorMessage="1" sqref="C39:C238" xr:uid="{00000000-0002-0000-0500-000002000000}">
      <formula1>StatusList</formula1>
      <formula2>0</formula2>
    </dataValidation>
    <dataValidation type="list" allowBlank="1" showErrorMessage="1" sqref="D39:D238" xr:uid="{00000000-0002-0000-0500-000003000000}">
      <formula1>CategoryList</formula1>
      <formula2>0</formula2>
    </dataValidation>
    <dataValidation type="list" allowBlank="1" showErrorMessage="1" sqref="F39:F238" xr:uid="{00000000-0002-0000-0500-000004000000}">
      <formula1>TypeList</formula1>
      <formula2>0</formula2>
    </dataValidation>
    <dataValidation type="list" allowBlank="1" showErrorMessage="1" sqref="G39:G238" xr:uid="{00000000-0002-0000-0500-000005000000}">
      <formula1>AccountList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22</vt:i4>
      </vt:variant>
    </vt:vector>
  </HeadingPairs>
  <TitlesOfParts>
    <vt:vector size="28" baseType="lpstr">
      <vt:lpstr>Read me</vt:lpstr>
      <vt:lpstr>Dashboard</vt:lpstr>
      <vt:lpstr>Lists</vt:lpstr>
      <vt:lpstr>Settings</vt:lpstr>
      <vt:lpstr>January 2026</vt:lpstr>
      <vt:lpstr>February 2026</vt:lpstr>
      <vt:lpstr>AccountList</vt:lpstr>
      <vt:lpstr>CategoryList</vt:lpstr>
      <vt:lpstr>Feb2026_Cash_End</vt:lpstr>
      <vt:lpstr>Feb2026_Emergency_End</vt:lpstr>
      <vt:lpstr>Feb2026_Investment_End</vt:lpstr>
      <vt:lpstr>Feb2026_Main_End</vt:lpstr>
      <vt:lpstr>Feb2026_Savings_End</vt:lpstr>
      <vt:lpstr>Feb2026_Total_End</vt:lpstr>
      <vt:lpstr>FX_Rate</vt:lpstr>
      <vt:lpstr>GBP_Rate</vt:lpstr>
      <vt:lpstr>Jan2026_Cash_End</vt:lpstr>
      <vt:lpstr>Jan2026_Emergency_End</vt:lpstr>
      <vt:lpstr>Jan2026_Investment_End</vt:lpstr>
      <vt:lpstr>Jan2026_Main_End</vt:lpstr>
      <vt:lpstr>Jan2026_Savings_End</vt:lpstr>
      <vt:lpstr>Jan2026_Total_End</vt:lpstr>
      <vt:lpstr>MonthList</vt:lpstr>
      <vt:lpstr>'February 2026'!Print_Area</vt:lpstr>
      <vt:lpstr>'January 2026'!Print_Area</vt:lpstr>
      <vt:lpstr>StatusList</vt:lpstr>
      <vt:lpstr>TypeList</vt:lpstr>
      <vt:lpstr>USD_Rate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Ruth Acolatse</cp:lastModifiedBy>
  <dcterms:modified xsi:type="dcterms:W3CDTF">2026-09-29T21:09:37Z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2026-09-29T12:26:54Z</dcterms:created>
  <dc:creator>Demo</dc:creator>
  <dc:description/>
  <dc:language>en-US</dc:language>
  <cp:lastModifiedBy/>
  <dcterms:modified xsi:type="dcterms:W3CDTF">2026-09-29T12:26:54Z</dcterms:modified>
  <cp:revision>0</cp:revision>
  <dc:subject/>
  <dc:title>Finance tracker template (dummy data)</dc:title>
</cp:coreProperties>
</file>