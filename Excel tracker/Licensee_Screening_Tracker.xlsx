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ompanies" sheetId="2" state="visible" r:id="rId2"/>
    <sheet xmlns:r="http://schemas.openxmlformats.org/officeDocument/2006/relationships" name="Profile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Lookups" sheetId="5" state="visible" r:id="rId5"/>
    <sheet xmlns:r="http://schemas.openxmlformats.org/officeDocument/2006/relationships" name="Raw_Shipments" sheetId="6" state="visible" r:id="rId6"/>
    <sheet xmlns:r="http://schemas.openxmlformats.org/officeDocument/2006/relationships" name="PQ_Query" sheetId="7" state="visible" r:id="rId7"/>
    <sheet xmlns:r="http://schemas.openxmlformats.org/officeDocument/2006/relationships" name="PQ_Expected" sheetId="8" state="visible" r:id="rId8"/>
  </sheets>
  <definedNames>
    <definedName name="W_Scale">Lookups!$K$5</definedName>
    <definedName name="W_Conn">Lookups!$K$6</definedName>
    <definedName name="W_5G">Lookups!$K$7</definedName>
    <definedName name="W_Geo">Lookups!$K$8</definedName>
    <definedName name="W_Lic">Lookups!$K$9</definedName>
    <definedName name="Region_Key">Lookups!$A$5:$A$11</definedName>
    <definedName name="Region_Factor">Lookups!$B$5:$B$11</definedName>
    <definedName name="Status_Key">Lookups!$D$5:$D$8</definedName>
    <definedName name="Status_Factor">Lookups!$E$5:$E$8</definedName>
    <definedName name="Segment_List">Lookups!$G$5:$G$6</definedName>
    <definedName name="Company_List">Companies!$B$5:$B$19</definedName>
    <definedName name="Rank_Col">Companies!$M$5:$M$19</definedName>
    <definedName name="Score_Col">Companies!$L$5:$L$19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mmm yyyy"/>
  </numFmts>
  <fonts count="12">
    <font>
      <name val="Calibri"/>
      <family val="2"/>
      <color theme="1"/>
      <sz val="11"/>
      <scheme val="minor"/>
    </font>
    <font>
      <b val="1"/>
      <color rgb="000F2A47"/>
      <sz val="14"/>
    </font>
    <font>
      <color rgb="00222222"/>
      <sz val="11"/>
    </font>
    <font>
      <b val="1"/>
      <color rgb="000F2A47"/>
      <sz val="11"/>
    </font>
    <font>
      <b val="1"/>
      <color rgb="00FFFFFF"/>
      <sz val="16"/>
    </font>
    <font>
      <i val="1"/>
      <color rgb="005B6B7A"/>
    </font>
    <font>
      <b val="1"/>
      <color rgb="00FFFFFF"/>
    </font>
    <font>
      <color rgb="000000FF"/>
    </font>
    <font>
      <b val="1"/>
    </font>
    <font>
      <b val="1"/>
      <color rgb="000000FF"/>
    </font>
    <font>
      <b val="1"/>
      <color rgb="000F2A47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000F2A47"/>
      </patternFill>
    </fill>
    <fill>
      <patternFill patternType="solid">
        <fgColor rgb="00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7" fillId="0" borderId="0" pivotButton="0" quotePrefix="0" xfId="0"/>
    <xf numFmtId="3" fontId="7" fillId="0" borderId="0" pivotButton="0" quotePrefix="0" xfId="0"/>
    <xf numFmtId="9" fontId="7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8" fillId="0" borderId="0" pivotButton="0" quotePrefix="0" xfId="0"/>
    <xf numFmtId="0" fontId="9" fillId="3" borderId="0" pivotButton="0" quotePrefix="0" xfId="0"/>
    <xf numFmtId="0" fontId="10" fillId="0" borderId="0" pivotButton="0" quotePrefix="0" xfId="0"/>
    <xf numFmtId="3" fontId="0" fillId="0" borderId="0" pivotButton="0" quotePrefix="0" xfId="0"/>
    <xf numFmtId="9" fontId="0" fillId="0" borderId="0" pivotButton="0" quotePrefix="0" xfId="0"/>
    <xf numFmtId="3" fontId="8" fillId="0" borderId="0" pivotButton="0" quotePrefix="0" xfId="0"/>
    <xf numFmtId="9" fontId="8" fillId="0" borderId="0" pivotButton="0" quotePrefix="0" xfId="0"/>
    <xf numFmtId="166" fontId="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dxfs count="7">
    <dxf>
      <fill>
        <patternFill patternType="solid">
          <bgColor rgb="00F8C9C4"/>
        </patternFill>
      </fill>
    </dxf>
    <dxf>
      <fill>
        <patternFill patternType="solid">
          <bgColor rgb="00FBE3A8"/>
        </patternFill>
      </fill>
    </dxf>
    <dxf>
      <fill>
        <patternFill patternType="solid">
          <bgColor rgb="00D6EAF8"/>
        </patternFill>
      </fill>
    </dxf>
    <dxf>
      <fill>
        <patternFill patternType="solid">
          <bgColor rgb="00CFE8D5"/>
        </patternFill>
      </fill>
    </dxf>
    <dxf>
      <fill>
        <patternFill patternType="solid">
          <bgColor rgb="00F1A9A0"/>
        </patternFill>
      </fill>
    </dxf>
    <dxf>
      <fill>
        <patternFill patternType="solid">
          <bgColor rgb="00DDE5EA"/>
        </patternFill>
      </fill>
    </dxf>
    <dxf>
      <font>
        <b val="1"/>
        <color rgb="009C1C10"/>
      </font>
      <fill>
        <patternFill patternType="solid">
          <bgColor rgb="00F8C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Unlicensed units by region (k)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'Summary'!$A$5:$A$11</f>
            </numRef>
          </cat>
          <val>
            <numRef>
              <f>'Summary'!$D$5:$D$11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Companies" displayName="tblCompanies" ref="A4:N19" headerRowCount="1">
  <autoFilter ref="A4:N19"/>
  <tableColumns count="14">
    <tableColumn id="1" name="ID"/>
    <tableColumn id="2" name="Company"/>
    <tableColumn id="3" name="Region"/>
    <tableColumn id="4" name="Segment"/>
    <tableColumn id="5" name="Annual units (k)"/>
    <tableColumn id="6" name="Connected share"/>
    <tableColumn id="7" name="5G planned"/>
    <tableColumn id="8" name="Licence status"/>
    <tableColumn id="9" name="Region factor"/>
    <tableColumn id="10" name="Status factor"/>
    <tableColumn id="11" name="Scale (vs largest)"/>
    <tableColumn id="12" name="Priority score"/>
    <tableColumn id="13" name="Rank"/>
    <tableColumn id="14" name="Tier"/>
  </tableColumns>
  <tableStyleInfo name="TableStyleLight9" showRowStripes="1"/>
</table>
</file>

<file path=xl/tables/table2.xml><?xml version="1.0" encoding="utf-8"?>
<table xmlns="http://schemas.openxmlformats.org/spreadsheetml/2006/main" id="2" name="tblRegion" displayName="tblRegion" ref="A4:B11" headerRowCount="1">
  <autoFilter ref="A4:B11"/>
  <tableColumns count="2">
    <tableColumn id="1" name="Region"/>
    <tableColumn id="2" name="Export exposure factor"/>
  </tableColumns>
  <tableStyleInfo name="TableStyleLight1" showRowStripes="0"/>
</table>
</file>

<file path=xl/tables/table3.xml><?xml version="1.0" encoding="utf-8"?>
<table xmlns="http://schemas.openxmlformats.org/spreadsheetml/2006/main" id="3" name="tblStatus" displayName="tblStatus" ref="D4:E8" headerRowCount="1">
  <autoFilter ref="D4:E8"/>
  <tableColumns count="2">
    <tableColumn id="4" name="Licence status"/>
    <tableColumn id="5" name="Opportunity factor"/>
  </tableColumns>
  <tableStyleInfo name="TableStyleLight1" showRowStripes="0"/>
</table>
</file>

<file path=xl/tables/table4.xml><?xml version="1.0" encoding="utf-8"?>
<table xmlns="http://schemas.openxmlformats.org/spreadsheetml/2006/main" id="4" name="tblRawShipments" displayName="tblRawShipments" ref="A4:D184" headerRowCount="1">
  <autoFilter ref="A4:D184"/>
  <tableColumns count="4">
    <tableColumn id="1" name="Month"/>
    <tableColumn id="2" name="Company"/>
    <tableColumn id="3" name="Region"/>
    <tableColumn id="4" name="Unit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Licensee Screening Tracker (Excel template, invented data)</t>
        </is>
      </c>
    </row>
    <row r="2">
      <c r="A2" s="2" t="inlineStr"/>
    </row>
    <row r="3">
      <c r="A3" s="2" t="inlineStr">
        <is>
          <t>All companies and figures are fictional and for demonstration only. The weights are illustrative, not a real methodology.</t>
        </is>
      </c>
    </row>
    <row r="4">
      <c r="A4" s="2" t="inlineStr"/>
    </row>
    <row r="5">
      <c r="A5" s="3" t="inlineStr">
        <is>
          <t>What this workbook demonstrates</t>
        </is>
      </c>
    </row>
    <row r="6">
      <c r="A6" s="2" t="inlineStr">
        <is>
          <t>XLOOKUP: Companies (region and licence factors), Profile (company card), Summary (top 5 by rank)</t>
        </is>
      </c>
    </row>
    <row r="7">
      <c r="A7" s="2" t="inlineStr">
        <is>
          <t>Named ranges: weights (W_Scale, W_Conn, W_5G, W_Geo, W_Lic), lookup keys and lists, used inside formulas</t>
        </is>
      </c>
    </row>
    <row r="8">
      <c r="A8" s="2" t="inlineStr">
        <is>
          <t>Data validation dropdowns fed from the Lookups sheet and from the company list</t>
        </is>
      </c>
    </row>
    <row r="9">
      <c r="A9" s="2" t="inlineStr">
        <is>
          <t>Excel Tables, SUMIFS / COUNTIF / AVERAGEIF summaries, RANK with a tie-breaker</t>
        </is>
      </c>
    </row>
    <row r="10">
      <c r="A10" s="2" t="inlineStr">
        <is>
          <t>Conditional formatting: score colour scale, priority tiers, licence status, weights check</t>
        </is>
      </c>
    </row>
    <row r="11">
      <c r="A11" s="2" t="inlineStr">
        <is>
          <t>Power Query: a cleaning query for Raw_Shipments (code on the PQ_Query sheet, expected result on PQ_Expected)</t>
        </is>
      </c>
    </row>
    <row r="12">
      <c r="A12" s="2" t="inlineStr"/>
    </row>
    <row r="13">
      <c r="A13" s="3" t="inlineStr">
        <is>
          <t>How to try it</t>
        </is>
      </c>
    </row>
    <row r="14">
      <c r="A14" s="2" t="inlineStr">
        <is>
          <t>1. Companies sheet: change a Licence status or the 5G flag and watch the Score, Rank and Summary update.</t>
        </is>
      </c>
    </row>
    <row r="15">
      <c r="A15" s="2" t="inlineStr">
        <is>
          <t>2. Lookups sheet: change a weight (they should total 100%) or a factor.</t>
        </is>
      </c>
    </row>
    <row r="16">
      <c r="A16" s="2" t="inlineStr">
        <is>
          <t>3. Profile sheet: pick a company from the dropdown.</t>
        </is>
      </c>
    </row>
    <row r="17">
      <c r="A17" s="2" t="inlineStr">
        <is>
          <t>4. Power Query: follow the steps on PQ_Query (Data &gt; Get Data &gt; From Other Sources &gt; Blank Query &gt; Advanced Editor).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22" customWidth="1" min="3" max="3"/>
    <col width="13" customWidth="1" min="4" max="4"/>
    <col width="12" customWidth="1" min="5" max="5"/>
    <col width="12" customWidth="1" min="6" max="6"/>
    <col width="11" customWidth="1" min="7" max="7"/>
    <col width="18" customWidth="1" min="8" max="8"/>
    <col width="10" customWidth="1" min="9" max="9"/>
    <col width="10" customWidth="1" min="10" max="10"/>
    <col width="12" customWidth="1" min="11" max="11"/>
    <col width="12" customWidth="1" min="12" max="12"/>
    <col width="8" customWidth="1" min="13" max="13"/>
    <col width="10" customWidth="1" min="14" max="14"/>
  </cols>
  <sheetData>
    <row r="1" ht="30" customHeight="1">
      <c r="A1" s="4" t="inlineStr">
        <is>
          <t>Companies: priority scoring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>
      <c r="A2" s="6" t="inlineStr">
        <is>
          <t>Score = 100 x weighted sum of scale, connected share, 5G plans, region exposure and licence gap. Change inputs in blue.</t>
        </is>
      </c>
    </row>
    <row r="4" ht="32" customHeight="1">
      <c r="A4" s="7" t="inlineStr">
        <is>
          <t>ID</t>
        </is>
      </c>
      <c r="B4" s="7" t="inlineStr">
        <is>
          <t>Company</t>
        </is>
      </c>
      <c r="C4" s="7" t="inlineStr">
        <is>
          <t>Region</t>
        </is>
      </c>
      <c r="D4" s="7" t="inlineStr">
        <is>
          <t>Segment</t>
        </is>
      </c>
      <c r="E4" s="7" t="inlineStr">
        <is>
          <t>Annual units (k)</t>
        </is>
      </c>
      <c r="F4" s="7" t="inlineStr">
        <is>
          <t>Connected share</t>
        </is>
      </c>
      <c r="G4" s="7" t="inlineStr">
        <is>
          <t>5G planned</t>
        </is>
      </c>
      <c r="H4" s="7" t="inlineStr">
        <is>
          <t>Licence status</t>
        </is>
      </c>
      <c r="I4" s="7" t="inlineStr">
        <is>
          <t>Region factor</t>
        </is>
      </c>
      <c r="J4" s="7" t="inlineStr">
        <is>
          <t>Status factor</t>
        </is>
      </c>
      <c r="K4" s="7" t="inlineStr">
        <is>
          <t>Scale (vs largest)</t>
        </is>
      </c>
      <c r="L4" s="7" t="inlineStr">
        <is>
          <t>Priority score</t>
        </is>
      </c>
      <c r="M4" s="7" t="inlineStr">
        <is>
          <t>Rank</t>
        </is>
      </c>
      <c r="N4" s="7" t="inlineStr">
        <is>
          <t>Tier</t>
        </is>
      </c>
    </row>
    <row r="5">
      <c r="A5" t="n">
        <v>1</v>
      </c>
      <c r="B5" s="8" t="inlineStr">
        <is>
          <t>Aurora Motors</t>
        </is>
      </c>
      <c r="C5" s="8" t="inlineStr">
        <is>
          <t>Europe</t>
        </is>
      </c>
      <c r="D5" s="8" t="inlineStr">
        <is>
          <t>Passenger</t>
        </is>
      </c>
      <c r="E5" s="9" t="n">
        <v>2400</v>
      </c>
      <c r="F5" s="10" t="n">
        <v>0.92</v>
      </c>
      <c r="G5" s="8" t="inlineStr">
        <is>
          <t>Yes</t>
        </is>
      </c>
      <c r="H5" s="8" t="inlineStr">
        <is>
          <t>Pool licence</t>
        </is>
      </c>
      <c r="I5" s="11">
        <f>_xlfn.XLOOKUP(C5,Region_Key,Region_Factor,0)</f>
        <v>0.9</v>
      </c>
      <c r="J5" s="11">
        <f>_xlfn.XLOOKUP(H5,Status_Key,Status_Factor,0)</f>
        <v>0</v>
      </c>
      <c r="K5" s="11">
        <f>E5/MAX($E$5:$E$19)</f>
        <v>0.774193548387097</v>
      </c>
      <c r="L5" s="12">
        <f>ROUND(100*(W_Scale*K5+W_Conn*F5+W_5G*IF(G5="Yes",1,0)+W_Geo*I5+W_Lic*J5),1)</f>
        <v>61.7</v>
      </c>
      <c r="M5">
        <f>RANK(L5,$L$5:$L$19)+COUNTIF($L$5:L5,L5)-1</f>
        <v>4</v>
      </c>
      <c r="N5" t="str">
        <f>IF(L5&gt;=65,"High",IF(L5&gt;=45,"Medium","Low"))</f>
        <v>Medium</v>
      </c>
    </row>
    <row r="6">
      <c r="A6" t="n">
        <v>2</v>
      </c>
      <c r="B6" s="8" t="inlineStr">
        <is>
          <t>Vantage Auto</t>
        </is>
      </c>
      <c r="C6" s="8" t="inlineStr">
        <is>
          <t>North America</t>
        </is>
      </c>
      <c r="D6" s="8" t="inlineStr">
        <is>
          <t>Passenger</t>
        </is>
      </c>
      <c r="E6" s="9" t="n">
        <v>1900</v>
      </c>
      <c r="F6" s="10" t="n">
        <v>0.88</v>
      </c>
      <c r="G6" s="8" t="inlineStr">
        <is>
          <t>Yes</t>
        </is>
      </c>
      <c r="H6" s="8" t="inlineStr">
        <is>
          <t>Pool licence</t>
        </is>
      </c>
      <c r="I6" s="11">
        <f>_xlfn.XLOOKUP(C6,Region_Key,Region_Factor,0)</f>
        <v>1</v>
      </c>
      <c r="J6" s="11">
        <f>_xlfn.XLOOKUP(H6,Status_Key,Status_Factor,0)</f>
        <v>0</v>
      </c>
      <c r="K6" s="11">
        <f>E6/MAX($E$5:$E$19)</f>
        <v>0.612903225806452</v>
      </c>
      <c r="L6" s="12">
        <f>ROUND(100*(W_Scale*K6+W_Conn*F6+W_5G*IF(G6="Yes",1,0)+W_Geo*I6+W_Lic*J6),1)</f>
        <v>58.5</v>
      </c>
      <c r="M6">
        <f>RANK(L6,$L$5:$L$19)+COUNTIF($L$5:L6,L6)-1</f>
        <v>6</v>
      </c>
      <c r="N6" t="str">
        <f>IF(L6&gt;=65,"High",IF(L6&gt;=45,"Medium","Low"))</f>
        <v>Medium</v>
      </c>
    </row>
    <row r="7">
      <c r="A7" t="n">
        <v>3</v>
      </c>
      <c r="B7" s="8" t="inlineStr">
        <is>
          <t>Solstice EV</t>
        </is>
      </c>
      <c r="C7" s="8" t="inlineStr">
        <is>
          <t>China</t>
        </is>
      </c>
      <c r="D7" s="8" t="inlineStr">
        <is>
          <t>Passenger</t>
        </is>
      </c>
      <c r="E7" s="9" t="n">
        <v>3100</v>
      </c>
      <c r="F7" s="10" t="n">
        <v>0.95</v>
      </c>
      <c r="G7" s="8" t="inlineStr">
        <is>
          <t>Yes</t>
        </is>
      </c>
      <c r="H7" s="8" t="inlineStr">
        <is>
          <t>In negotiation</t>
        </is>
      </c>
      <c r="I7" s="11">
        <f>_xlfn.XLOOKUP(C7,Region_Key,Region_Factor,0)</f>
        <v>0.7</v>
      </c>
      <c r="J7" s="11">
        <f>_xlfn.XLOOKUP(H7,Status_Key,Status_Factor,0)</f>
        <v>0.7</v>
      </c>
      <c r="K7" s="11">
        <f>E7/MAX($E$5:$E$19)</f>
        <v>1</v>
      </c>
      <c r="L7" s="12">
        <f>ROUND(100*(W_Scale*K7+W_Conn*F7+W_5G*IF(G7="Yes",1,0)+W_Geo*I7+W_Lic*J7),1)</f>
        <v>85.8</v>
      </c>
      <c r="M7">
        <f>RANK(L7,$L$5:$L$19)+COUNTIF($L$5:L7,L7)-1</f>
        <v>1</v>
      </c>
      <c r="N7" t="str">
        <f>IF(L7&gt;=65,"High",IF(L7&gt;=45,"Medium","Low"))</f>
        <v>High</v>
      </c>
    </row>
    <row r="8">
      <c r="A8" t="n">
        <v>4</v>
      </c>
      <c r="B8" s="8" t="inlineStr">
        <is>
          <t>Kestrel Mobility</t>
        </is>
      </c>
      <c r="C8" s="8" t="inlineStr">
        <is>
          <t>China</t>
        </is>
      </c>
      <c r="D8" s="8" t="inlineStr">
        <is>
          <t>Passenger</t>
        </is>
      </c>
      <c r="E8" s="9" t="n">
        <v>1250</v>
      </c>
      <c r="F8" s="10" t="n">
        <v>0.9</v>
      </c>
      <c r="G8" s="8" t="inlineStr">
        <is>
          <t>Yes</t>
        </is>
      </c>
      <c r="H8" s="8" t="inlineStr">
        <is>
          <t>Unlicensed</t>
        </is>
      </c>
      <c r="I8" s="11">
        <f>_xlfn.XLOOKUP(C8,Region_Key,Region_Factor,0)</f>
        <v>0.7</v>
      </c>
      <c r="J8" s="11">
        <f>_xlfn.XLOOKUP(H8,Status_Key,Status_Factor,0)</f>
        <v>1</v>
      </c>
      <c r="K8" s="11">
        <f>E8/MAX($E$5:$E$19)</f>
        <v>0.403225806451613</v>
      </c>
      <c r="L8" s="12">
        <f>ROUND(100*(W_Scale*K8+W_Conn*F8+W_5G*IF(G8="Yes",1,0)+W_Geo*I8+W_Lic*J8),1)</f>
        <v>79.1</v>
      </c>
      <c r="M8">
        <f>RANK(L8,$L$5:$L$19)+COUNTIF($L$5:L8,L8)-1</f>
        <v>3</v>
      </c>
      <c r="N8" t="str">
        <f>IF(L8&gt;=65,"High",IF(L8&gt;=45,"Medium","Low"))</f>
        <v>High</v>
      </c>
    </row>
    <row r="9">
      <c r="A9" t="n">
        <v>5</v>
      </c>
      <c r="B9" s="8" t="inlineStr">
        <is>
          <t>Bharat Drive Co</t>
        </is>
      </c>
      <c r="C9" s="8" t="inlineStr">
        <is>
          <t>India</t>
        </is>
      </c>
      <c r="D9" s="8" t="inlineStr">
        <is>
          <t>Passenger</t>
        </is>
      </c>
      <c r="E9" s="9" t="n">
        <v>980</v>
      </c>
      <c r="F9" s="10" t="n">
        <v>0.62</v>
      </c>
      <c r="G9" s="8" t="inlineStr">
        <is>
          <t>No</t>
        </is>
      </c>
      <c r="H9" s="8" t="inlineStr">
        <is>
          <t>Unlicensed</t>
        </is>
      </c>
      <c r="I9" s="11">
        <f>_xlfn.XLOOKUP(C9,Region_Key,Region_Factor,0)</f>
        <v>0.6</v>
      </c>
      <c r="J9" s="11">
        <f>_xlfn.XLOOKUP(H9,Status_Key,Status_Factor,0)</f>
        <v>1</v>
      </c>
      <c r="K9" s="11">
        <f>E9/MAX($E$5:$E$19)</f>
        <v>0.316129032258065</v>
      </c>
      <c r="L9" s="12">
        <f>ROUND(100*(W_Scale*K9+W_Conn*F9+W_5G*IF(G9="Yes",1,0)+W_Geo*I9+W_Lic*J9),1)</f>
        <v>56.2</v>
      </c>
      <c r="M9">
        <f>RANK(L9,$L$5:$L$19)+COUNTIF($L$5:L9,L9)-1</f>
        <v>7</v>
      </c>
      <c r="N9" t="str">
        <f>IF(L9&gt;=65,"High",IF(L9&gt;=45,"Medium","Low"))</f>
        <v>Medium</v>
      </c>
    </row>
    <row r="10">
      <c r="A10" t="n">
        <v>6</v>
      </c>
      <c r="B10" s="8" t="inlineStr">
        <is>
          <t>Meridian Trucks</t>
        </is>
      </c>
      <c r="C10" s="8" t="inlineStr">
        <is>
          <t>Europe</t>
        </is>
      </c>
      <c r="D10" s="8" t="inlineStr">
        <is>
          <t>Commercial</t>
        </is>
      </c>
      <c r="E10" s="9" t="n">
        <v>310</v>
      </c>
      <c r="F10" s="10" t="n">
        <v>0.85</v>
      </c>
      <c r="G10" s="8" t="inlineStr">
        <is>
          <t>Yes</t>
        </is>
      </c>
      <c r="H10" s="8" t="inlineStr">
        <is>
          <t>Pool licence</t>
        </is>
      </c>
      <c r="I10" s="11">
        <f>_xlfn.XLOOKUP(C10,Region_Key,Region_Factor,0)</f>
        <v>0.9</v>
      </c>
      <c r="J10" s="11">
        <f>_xlfn.XLOOKUP(H10,Status_Key,Status_Factor,0)</f>
        <v>0</v>
      </c>
      <c r="K10" s="11">
        <f>E10/MAX($E$5:$E$19)</f>
        <v>0.1</v>
      </c>
      <c r="L10" s="12">
        <f>ROUND(100*(W_Scale*K10+W_Conn*F10+W_5G*IF(G10="Yes",1,0)+W_Geo*I10+W_Lic*J10),1)</f>
        <v>43.8</v>
      </c>
      <c r="M10">
        <f>RANK(L10,$L$5:$L$19)+COUNTIF($L$5:L10,L10)-1</f>
        <v>14</v>
      </c>
      <c r="N10" t="str">
        <f>IF(L10&gt;=65,"High",IF(L10&gt;=45,"Medium","Low"))</f>
        <v>Low</v>
      </c>
    </row>
    <row r="11">
      <c r="A11" t="n">
        <v>7</v>
      </c>
      <c r="B11" s="8" t="inlineStr">
        <is>
          <t>Cordillera Motors</t>
        </is>
      </c>
      <c r="C11" s="8" t="inlineStr">
        <is>
          <t>Latin America</t>
        </is>
      </c>
      <c r="D11" s="8" t="inlineStr">
        <is>
          <t>Passenger</t>
        </is>
      </c>
      <c r="E11" s="9" t="n">
        <v>640</v>
      </c>
      <c r="F11" s="10" t="n">
        <v>0.55</v>
      </c>
      <c r="G11" s="8" t="inlineStr">
        <is>
          <t>No</t>
        </is>
      </c>
      <c r="H11" s="8" t="inlineStr">
        <is>
          <t>Unlicensed</t>
        </is>
      </c>
      <c r="I11" s="11">
        <f>_xlfn.XLOOKUP(C11,Region_Key,Region_Factor,0)</f>
        <v>0.4</v>
      </c>
      <c r="J11" s="11">
        <f>_xlfn.XLOOKUP(H11,Status_Key,Status_Factor,0)</f>
        <v>1</v>
      </c>
      <c r="K11" s="11">
        <f>E11/MAX($E$5:$E$19)</f>
        <v>0.206451612903226</v>
      </c>
      <c r="L11" s="12">
        <f>ROUND(100*(W_Scale*K11+W_Conn*F11+W_5G*IF(G11="Yes",1,0)+W_Geo*I11+W_Lic*J11),1)</f>
        <v>49.4</v>
      </c>
      <c r="M11">
        <f>RANK(L11,$L$5:$L$19)+COUNTIF($L$5:L11,L11)-1</f>
        <v>12</v>
      </c>
      <c r="N11" t="str">
        <f>IF(L11&gt;=65,"High",IF(L11&gt;=45,"Medium","Low"))</f>
        <v>Medium</v>
      </c>
    </row>
    <row r="12">
      <c r="A12" t="n">
        <v>8</v>
      </c>
      <c r="B12" s="8" t="inlineStr">
        <is>
          <t>Nordlys Vehicles</t>
        </is>
      </c>
      <c r="C12" s="8" t="inlineStr">
        <is>
          <t>Europe</t>
        </is>
      </c>
      <c r="D12" s="8" t="inlineStr">
        <is>
          <t>Passenger</t>
        </is>
      </c>
      <c r="E12" s="9" t="n">
        <v>720</v>
      </c>
      <c r="F12" s="10" t="n">
        <v>0.9399999999999999</v>
      </c>
      <c r="G12" s="8" t="inlineStr">
        <is>
          <t>Yes</t>
        </is>
      </c>
      <c r="H12" s="8" t="inlineStr">
        <is>
          <t>Bilateral licence</t>
        </is>
      </c>
      <c r="I12" s="11">
        <f>_xlfn.XLOOKUP(C12,Region_Key,Region_Factor,0)</f>
        <v>0.9</v>
      </c>
      <c r="J12" s="11">
        <f>_xlfn.XLOOKUP(H12,Status_Key,Status_Factor,0)</f>
        <v>0.2</v>
      </c>
      <c r="K12" s="11">
        <f>E12/MAX($E$5:$E$19)</f>
        <v>0.232258064516129</v>
      </c>
      <c r="L12" s="12">
        <f>ROUND(100*(W_Scale*K12+W_Conn*F12+W_5G*IF(G12="Yes",1,0)+W_Geo*I12+W_Lic*J12),1)</f>
        <v>54.4</v>
      </c>
      <c r="M12">
        <f>RANK(L12,$L$5:$L$19)+COUNTIF($L$5:L12,L12)-1</f>
        <v>8</v>
      </c>
      <c r="N12" t="str">
        <f>IF(L12&gt;=65,"High",IF(L12&gt;=45,"Medium","Low"))</f>
        <v>Medium</v>
      </c>
    </row>
    <row r="13">
      <c r="A13" t="n">
        <v>9</v>
      </c>
      <c r="B13" s="8" t="inlineStr">
        <is>
          <t>Tidewater Trucks</t>
        </is>
      </c>
      <c r="C13" s="8" t="inlineStr">
        <is>
          <t>North America</t>
        </is>
      </c>
      <c r="D13" s="8" t="inlineStr">
        <is>
          <t>Commercial</t>
        </is>
      </c>
      <c r="E13" s="9" t="n">
        <v>260</v>
      </c>
      <c r="F13" s="10" t="n">
        <v>0.8</v>
      </c>
      <c r="G13" s="8" t="inlineStr">
        <is>
          <t>No</t>
        </is>
      </c>
      <c r="H13" s="8" t="inlineStr">
        <is>
          <t>In negotiation</t>
        </is>
      </c>
      <c r="I13" s="11">
        <f>_xlfn.XLOOKUP(C13,Region_Key,Region_Factor,0)</f>
        <v>1</v>
      </c>
      <c r="J13" s="11">
        <f>_xlfn.XLOOKUP(H13,Status_Key,Status_Factor,0)</f>
        <v>0.7</v>
      </c>
      <c r="K13" s="11">
        <f>E13/MAX($E$5:$E$19)</f>
        <v>0.0838709677419355</v>
      </c>
      <c r="L13" s="12">
        <f>ROUND(100*(W_Scale*K13+W_Conn*F13+W_5G*IF(G13="Yes",1,0)+W_Geo*I13+W_Lic*J13),1)</f>
        <v>50.1</v>
      </c>
      <c r="M13">
        <f>RANK(L13,$L$5:$L$19)+COUNTIF($L$5:L13,L13)-1</f>
        <v>11</v>
      </c>
      <c r="N13" t="str">
        <f>IF(L13&gt;=65,"High",IF(L13&gt;=45,"Medium","Low"))</f>
        <v>Medium</v>
      </c>
    </row>
    <row r="14">
      <c r="A14" t="n">
        <v>10</v>
      </c>
      <c r="B14" s="8" t="inlineStr">
        <is>
          <t>Zenith Two-Wheelers</t>
        </is>
      </c>
      <c r="C14" s="8" t="inlineStr">
        <is>
          <t>Southeast Asia</t>
        </is>
      </c>
      <c r="D14" s="8" t="inlineStr">
        <is>
          <t>Passenger</t>
        </is>
      </c>
      <c r="E14" s="9" t="n">
        <v>1100</v>
      </c>
      <c r="F14" s="10" t="n">
        <v>0.4</v>
      </c>
      <c r="G14" s="8" t="inlineStr">
        <is>
          <t>No</t>
        </is>
      </c>
      <c r="H14" s="8" t="inlineStr">
        <is>
          <t>Unlicensed</t>
        </is>
      </c>
      <c r="I14" s="11">
        <f>_xlfn.XLOOKUP(C14,Region_Key,Region_Factor,0)</f>
        <v>0.5</v>
      </c>
      <c r="J14" s="11">
        <f>_xlfn.XLOOKUP(H14,Status_Key,Status_Factor,0)</f>
        <v>1</v>
      </c>
      <c r="K14" s="11">
        <f>E14/MAX($E$5:$E$19)</f>
        <v>0.354838709677419</v>
      </c>
      <c r="L14" s="12">
        <f>ROUND(100*(W_Scale*K14+W_Conn*F14+W_5G*IF(G14="Yes",1,0)+W_Geo*I14+W_Lic*J14),1)</f>
        <v>52.4</v>
      </c>
      <c r="M14">
        <f>RANK(L14,$L$5:$L$19)+COUNTIF($L$5:L14,L14)-1</f>
        <v>9</v>
      </c>
      <c r="N14" t="str">
        <f>IF(L14&gt;=65,"High",IF(L14&gt;=45,"Medium","Low"))</f>
        <v>Medium</v>
      </c>
    </row>
    <row r="15">
      <c r="A15" t="n">
        <v>11</v>
      </c>
      <c r="B15" s="8" t="inlineStr">
        <is>
          <t>Lotus Blossom Auto</t>
        </is>
      </c>
      <c r="C15" s="8" t="inlineStr">
        <is>
          <t>China</t>
        </is>
      </c>
      <c r="D15" s="8" t="inlineStr">
        <is>
          <t>Passenger</t>
        </is>
      </c>
      <c r="E15" s="9" t="n">
        <v>1750</v>
      </c>
      <c r="F15" s="10" t="n">
        <v>0.93</v>
      </c>
      <c r="G15" s="8" t="inlineStr">
        <is>
          <t>Yes</t>
        </is>
      </c>
      <c r="H15" s="8" t="inlineStr">
        <is>
          <t>Unlicensed</t>
        </is>
      </c>
      <c r="I15" s="11">
        <f>_xlfn.XLOOKUP(C15,Region_Key,Region_Factor,0)</f>
        <v>0.7</v>
      </c>
      <c r="J15" s="11">
        <f>_xlfn.XLOOKUP(H15,Status_Key,Status_Factor,0)</f>
        <v>1</v>
      </c>
      <c r="K15" s="11">
        <f>E15/MAX($E$5:$E$19)</f>
        <v>0.564516129032258</v>
      </c>
      <c r="L15" s="12">
        <f>ROUND(100*(W_Scale*K15+W_Conn*F15+W_5G*IF(G15="Yes",1,0)+W_Geo*I15+W_Lic*J15),1)</f>
        <v>83.6</v>
      </c>
      <c r="M15">
        <f>RANK(L15,$L$5:$L$19)+COUNTIF($L$5:L15,L15)-1</f>
        <v>2</v>
      </c>
      <c r="N15" t="str">
        <f>IF(L15&gt;=65,"High",IF(L15&gt;=45,"Medium","Low"))</f>
        <v>High</v>
      </c>
    </row>
    <row r="16">
      <c r="A16" t="n">
        <v>12</v>
      </c>
      <c r="B16" s="8" t="inlineStr">
        <is>
          <t>Sahara Motors</t>
        </is>
      </c>
      <c r="C16" s="8" t="inlineStr">
        <is>
          <t>Middle East &amp; Africa</t>
        </is>
      </c>
      <c r="D16" s="8" t="inlineStr">
        <is>
          <t>Passenger</t>
        </is>
      </c>
      <c r="E16" s="9" t="n">
        <v>420</v>
      </c>
      <c r="F16" s="10" t="n">
        <v>0.5</v>
      </c>
      <c r="G16" s="8" t="inlineStr">
        <is>
          <t>No</t>
        </is>
      </c>
      <c r="H16" s="8" t="inlineStr">
        <is>
          <t>Unlicensed</t>
        </is>
      </c>
      <c r="I16" s="11">
        <f>_xlfn.XLOOKUP(C16,Region_Key,Region_Factor,0)</f>
        <v>0.4</v>
      </c>
      <c r="J16" s="11">
        <f>_xlfn.XLOOKUP(H16,Status_Key,Status_Factor,0)</f>
        <v>1</v>
      </c>
      <c r="K16" s="11">
        <f>E16/MAX($E$5:$E$19)</f>
        <v>0.135483870967742</v>
      </c>
      <c r="L16" s="12">
        <f>ROUND(100*(W_Scale*K16+W_Conn*F16+W_5G*IF(G16="Yes",1,0)+W_Geo*I16+W_Lic*J16),1)</f>
        <v>46.9</v>
      </c>
      <c r="M16">
        <f>RANK(L16,$L$5:$L$19)+COUNTIF($L$5:L16,L16)-1</f>
        <v>13</v>
      </c>
      <c r="N16" t="str">
        <f>IF(L16&gt;=65,"High",IF(L16&gt;=45,"Medium","Low"))</f>
        <v>Medium</v>
      </c>
    </row>
    <row r="17">
      <c r="A17" t="n">
        <v>13</v>
      </c>
      <c r="B17" s="8" t="inlineStr">
        <is>
          <t>Pinnacle Commercial</t>
        </is>
      </c>
      <c r="C17" s="8" t="inlineStr">
        <is>
          <t>India</t>
        </is>
      </c>
      <c r="D17" s="8" t="inlineStr">
        <is>
          <t>Commercial</t>
        </is>
      </c>
      <c r="E17" s="9" t="n">
        <v>190</v>
      </c>
      <c r="F17" s="10" t="n">
        <v>0.58</v>
      </c>
      <c r="G17" s="8" t="inlineStr">
        <is>
          <t>No</t>
        </is>
      </c>
      <c r="H17" s="8" t="inlineStr">
        <is>
          <t>In negotiation</t>
        </is>
      </c>
      <c r="I17" s="11">
        <f>_xlfn.XLOOKUP(C17,Region_Key,Region_Factor,0)</f>
        <v>0.6</v>
      </c>
      <c r="J17" s="11">
        <f>_xlfn.XLOOKUP(H17,Status_Key,Status_Factor,0)</f>
        <v>0.7</v>
      </c>
      <c r="K17" s="11">
        <f>E17/MAX($E$5:$E$19)</f>
        <v>0.0612903225806452</v>
      </c>
      <c r="L17" s="12">
        <f>ROUND(100*(W_Scale*K17+W_Conn*F17+W_5G*IF(G17="Yes",1,0)+W_Geo*I17+W_Lic*J17),1)</f>
        <v>40.2</v>
      </c>
      <c r="M17">
        <f>RANK(L17,$L$5:$L$19)+COUNTIF($L$5:L17,L17)-1</f>
        <v>15</v>
      </c>
      <c r="N17" t="str">
        <f>IF(L17&gt;=65,"High",IF(L17&gt;=45,"Medium","Low"))</f>
        <v>Low</v>
      </c>
    </row>
    <row r="18">
      <c r="A18" t="n">
        <v>14</v>
      </c>
      <c r="B18" s="8" t="inlineStr">
        <is>
          <t>Atlas Utility Vehicles</t>
        </is>
      </c>
      <c r="C18" s="8" t="inlineStr">
        <is>
          <t>North America</t>
        </is>
      </c>
      <c r="D18" s="8" t="inlineStr">
        <is>
          <t>Commercial</t>
        </is>
      </c>
      <c r="E18" s="9" t="n">
        <v>340</v>
      </c>
      <c r="F18" s="10" t="n">
        <v>0.83</v>
      </c>
      <c r="G18" s="8" t="inlineStr">
        <is>
          <t>Yes</t>
        </is>
      </c>
      <c r="H18" s="8" t="inlineStr">
        <is>
          <t>Bilateral licence</t>
        </is>
      </c>
      <c r="I18" s="11">
        <f>_xlfn.XLOOKUP(C18,Region_Key,Region_Factor,0)</f>
        <v>1</v>
      </c>
      <c r="J18" s="11">
        <f>_xlfn.XLOOKUP(H18,Status_Key,Status_Factor,0)</f>
        <v>0.2</v>
      </c>
      <c r="K18" s="11">
        <f>E18/MAX($E$5:$E$19)</f>
        <v>0.109677419354839</v>
      </c>
      <c r="L18" s="12">
        <f>ROUND(100*(W_Scale*K18+W_Conn*F18+W_5G*IF(G18="Yes",1,0)+W_Geo*I18+W_Lic*J18),1)</f>
        <v>51.2</v>
      </c>
      <c r="M18">
        <f>RANK(L18,$L$5:$L$19)+COUNTIF($L$5:L18,L18)-1</f>
        <v>10</v>
      </c>
      <c r="N18" t="str">
        <f>IF(L18&gt;=65,"High",IF(L18&gt;=45,"Medium","Low"))</f>
        <v>Medium</v>
      </c>
    </row>
    <row r="19">
      <c r="A19" t="n">
        <v>15</v>
      </c>
      <c r="B19" s="8" t="inlineStr">
        <is>
          <t>Harbor City Motors</t>
        </is>
      </c>
      <c r="C19" s="8" t="inlineStr">
        <is>
          <t>Southeast Asia</t>
        </is>
      </c>
      <c r="D19" s="8" t="inlineStr">
        <is>
          <t>Passenger</t>
        </is>
      </c>
      <c r="E19" s="9" t="n">
        <v>760</v>
      </c>
      <c r="F19" s="10" t="n">
        <v>0.72</v>
      </c>
      <c r="G19" s="8" t="inlineStr">
        <is>
          <t>Yes</t>
        </is>
      </c>
      <c r="H19" s="8" t="inlineStr">
        <is>
          <t>In negotiation</t>
        </is>
      </c>
      <c r="I19" s="11">
        <f>_xlfn.XLOOKUP(C19,Region_Key,Region_Factor,0)</f>
        <v>0.5</v>
      </c>
      <c r="J19" s="11">
        <f>_xlfn.XLOOKUP(H19,Status_Key,Status_Factor,0)</f>
        <v>0.7</v>
      </c>
      <c r="K19" s="11">
        <f>E19/MAX($E$5:$E$19)</f>
        <v>0.245161290322581</v>
      </c>
      <c r="L19" s="12">
        <f>ROUND(100*(W_Scale*K19+W_Conn*F19+W_5G*IF(G19="Yes",1,0)+W_Geo*I19+W_Lic*J19),1)</f>
        <v>60.4</v>
      </c>
      <c r="M19">
        <f>RANK(L19,$L$5:$L$19)+COUNTIF($L$5:L19,L19)-1</f>
        <v>5</v>
      </c>
      <c r="N19" t="str">
        <f>IF(L19&gt;=65,"High",IF(L19&gt;=45,"Medium","Low"))</f>
        <v>Medium</v>
      </c>
    </row>
  </sheetData>
  <conditionalFormatting sqref="L5:L19">
    <cfRule type="colorScale" priority="1">
      <colorScale>
        <cfvo type="min"/>
        <cfvo type="percentile" val="50"/>
        <cfvo type="max"/>
        <color rgb="00F8F1D0"/>
        <color rgb="00F6C56B"/>
        <color rgb="00D9534F"/>
      </colorScale>
    </cfRule>
  </conditionalFormatting>
  <conditionalFormatting sqref="H5:H19">
    <cfRule type="cellIs" priority="2" operator="equal" dxfId="0">
      <formula>"Unlicensed"</formula>
    </cfRule>
    <cfRule type="cellIs" priority="3" operator="equal" dxfId="1">
      <formula>"In negotiation"</formula>
    </cfRule>
    <cfRule type="cellIs" priority="4" operator="equal" dxfId="2">
      <formula>"Bilateral licence"</formula>
    </cfRule>
    <cfRule type="cellIs" priority="5" operator="equal" dxfId="3">
      <formula>"Pool licence"</formula>
    </cfRule>
  </conditionalFormatting>
  <conditionalFormatting sqref="N5:N19">
    <cfRule type="cellIs" priority="6" operator="equal" dxfId="4">
      <formula>"High"</formula>
    </cfRule>
    <cfRule type="cellIs" priority="7" operator="equal" dxfId="1">
      <formula>"Medium"</formula>
    </cfRule>
    <cfRule type="cellIs" priority="8" operator="equal" dxfId="5">
      <formula>"Low"</formula>
    </cfRule>
  </conditionalFormatting>
  <dataValidations count="4">
    <dataValidation sqref="C5:C19" showDropDown="0" showInputMessage="0" showErrorMessage="1" allowBlank="0" type="list">
      <formula1>=Region_Key</formula1>
    </dataValidation>
    <dataValidation sqref="D5:D19" showDropDown="0" showInputMessage="0" showErrorMessage="1" allowBlank="0" type="list">
      <formula1>=Segment_List</formula1>
    </dataValidation>
    <dataValidation sqref="H5:H19" showDropDown="0" showInputMessage="0" showErrorMessage="1" allowBlank="0" type="list">
      <formula1>=Status_Key</formula1>
    </dataValidation>
    <dataValidation sqref="G5:G19" showDropDown="0" showInputMessage="0" showErrorMessage="0" allowBlank="0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</cols>
  <sheetData>
    <row r="1" ht="30" customHeight="1">
      <c r="A1" s="4" t="inlineStr">
        <is>
          <t>Company profile (XLOOKUP card)</t>
        </is>
      </c>
      <c r="B1" s="5" t="n"/>
      <c r="C1" s="5" t="n"/>
      <c r="D1" s="5" t="n"/>
      <c r="E1" s="5" t="n"/>
      <c r="F1" s="5" t="n"/>
    </row>
    <row r="2">
      <c r="A2" s="6" t="inlineStr">
        <is>
          <t>Pick a company in the blue cell.</t>
        </is>
      </c>
    </row>
    <row r="4">
      <c r="A4" s="13" t="inlineStr">
        <is>
          <t>Select company</t>
        </is>
      </c>
      <c r="B4" s="14" t="inlineStr">
        <is>
          <t>Kestrel Mobility</t>
        </is>
      </c>
    </row>
    <row r="6">
      <c r="A6" s="15" t="inlineStr">
        <is>
          <t>Region</t>
        </is>
      </c>
      <c r="B6" t="str">
        <f>_xlfn.XLOOKUP($B$4,Companies!$B$5:$B$19,Companies!$C$5:$C$19,"n/a")</f>
        <v>China</v>
      </c>
    </row>
    <row r="7">
      <c r="A7" s="15" t="inlineStr">
        <is>
          <t>Segment</t>
        </is>
      </c>
      <c r="B7" t="str">
        <f>_xlfn.XLOOKUP($B$4,Companies!$B$5:$B$19,Companies!$D$5:$D$19,"n/a")</f>
        <v>Passenger</v>
      </c>
    </row>
    <row r="8">
      <c r="A8" s="15" t="inlineStr">
        <is>
          <t>Annual units (k)</t>
        </is>
      </c>
      <c r="B8" s="16">
        <f>_xlfn.XLOOKUP($B$4,Companies!$B$5:$B$19,Companies!$E$5:$E$19,"n/a")</f>
        <v>1250</v>
      </c>
    </row>
    <row r="9">
      <c r="A9" s="15" t="inlineStr">
        <is>
          <t>Connected share</t>
        </is>
      </c>
      <c r="B9" s="17">
        <f>_xlfn.XLOOKUP($B$4,Companies!$B$5:$B$19,Companies!$F$5:$F$19,"n/a")</f>
        <v>0.9</v>
      </c>
    </row>
    <row r="10">
      <c r="A10" s="15" t="inlineStr">
        <is>
          <t>5G planned</t>
        </is>
      </c>
      <c r="B10" t="str">
        <f>_xlfn.XLOOKUP($B$4,Companies!$B$5:$B$19,Companies!$G$5:$G$19,"n/a")</f>
        <v>Yes</v>
      </c>
    </row>
    <row r="11">
      <c r="A11" s="15" t="inlineStr">
        <is>
          <t>Licence status</t>
        </is>
      </c>
      <c r="B11" t="str">
        <f>_xlfn.XLOOKUP($B$4,Companies!$B$5:$B$19,Companies!$H$5:$H$19,"n/a")</f>
        <v>Unlicensed</v>
      </c>
    </row>
    <row r="12">
      <c r="A12" s="15" t="inlineStr">
        <is>
          <t>Priority score</t>
        </is>
      </c>
      <c r="B12" s="12">
        <f>_xlfn.XLOOKUP($B$4,Companies!$B$5:$B$19,Companies!$L$5:$L$19,"n/a")</f>
        <v>79.1</v>
      </c>
    </row>
    <row r="13">
      <c r="A13" s="15" t="inlineStr">
        <is>
          <t>Rank (of 15)</t>
        </is>
      </c>
      <c r="B13">
        <f>_xlfn.XLOOKUP($B$4,Companies!$B$5:$B$19,Companies!$M$5:$M$19,"n/a")</f>
        <v>3</v>
      </c>
    </row>
    <row r="14">
      <c r="A14" s="15" t="inlineStr">
        <is>
          <t>Tier</t>
        </is>
      </c>
      <c r="B14" t="str">
        <f>_xlfn.XLOOKUP($B$4,Companies!$B$5:$B$19,Companies!$N$5:$N$19,"n/a")</f>
        <v>High</v>
      </c>
    </row>
    <row r="16">
      <c r="A16" s="15" t="inlineStr">
        <is>
          <t>Gap to top-ranked company (score points)</t>
        </is>
      </c>
      <c r="B16" s="12">
        <f>_xlfn.XLOOKUP(1,Rank_Col,Score_Col,0)-B12</f>
        <v>6.7</v>
      </c>
    </row>
    <row r="17">
      <c r="A17" s="15" t="inlineStr">
        <is>
          <t>Top-ranked company</t>
        </is>
      </c>
      <c r="B17" t="str">
        <f>_xlfn.XLOOKUP(1,Rank_Col,Company_List,"n/a")</f>
        <v>Solstice EV</v>
      </c>
    </row>
  </sheetData>
  <dataValidations count="1">
    <dataValidation sqref="B4" showDropDown="0" showInputMessage="0" showErrorMessage="0" allowBlank="0" type="list">
      <formula1>=Company_List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2" customWidth="1" min="3" max="3"/>
    <col width="20" customWidth="1" min="4" max="4"/>
    <col width="16" customWidth="1" min="5" max="5"/>
    <col width="14" customWidth="1" min="6" max="6"/>
  </cols>
  <sheetData>
    <row r="1" ht="30" customHeight="1">
      <c r="A1" s="4" t="inlineStr">
        <is>
          <t>Summary by region and top targets</t>
        </is>
      </c>
      <c r="B1" s="5" t="n"/>
      <c r="C1" s="5" t="n"/>
      <c r="D1" s="5" t="n"/>
      <c r="E1" s="5" t="n"/>
      <c r="F1" s="5" t="n"/>
      <c r="G1" s="5" t="n"/>
      <c r="H1" s="5" t="n"/>
    </row>
    <row r="2">
      <c r="A2" s="6" t="inlineStr">
        <is>
          <t>Formulas: COUNTIF, SUMIF(S), AVERAGEIF, IFERROR and XLOOKUP on rank.</t>
        </is>
      </c>
    </row>
    <row r="4" ht="32" customHeight="1">
      <c r="A4" s="7" t="inlineStr">
        <is>
          <t>Region</t>
        </is>
      </c>
      <c r="B4" s="7" t="inlineStr">
        <is>
          <t>Companies</t>
        </is>
      </c>
      <c r="C4" s="7" t="inlineStr">
        <is>
          <t>Total units (k)</t>
        </is>
      </c>
      <c r="D4" s="7" t="inlineStr">
        <is>
          <t>Unlicensed units (k)</t>
        </is>
      </c>
      <c r="E4" s="7" t="inlineStr">
        <is>
          <t>Share unlicensed</t>
        </is>
      </c>
      <c r="F4" s="7" t="inlineStr">
        <is>
          <t>Average score</t>
        </is>
      </c>
    </row>
    <row r="5">
      <c r="A5" t="str">
        <f>Lookups!A5</f>
        <v>Europe</v>
      </c>
      <c r="B5">
        <f>COUNTIF(Companies!$C$5:$C$19,A5)</f>
        <v>3</v>
      </c>
      <c r="C5" s="16">
        <f>SUMIF(Companies!$C$5:$C$19,A5,Companies!$E$5:$E$19)</f>
        <v>3430</v>
      </c>
      <c r="D5" s="16">
        <f>SUMIFS(Companies!$E$5:$E$19,Companies!$C$5:$C$19,A5,Companies!$H$5:$H$19,"Unlicensed")</f>
        <v>0</v>
      </c>
      <c r="E5" s="17">
        <f>IFERROR(D5/C5,0)</f>
        <v>0</v>
      </c>
      <c r="F5" s="12">
        <f>IFERROR(AVERAGEIF(Companies!$C$5:$C$19,A5,Companies!$L$5:$L$19),0)</f>
        <v>53.3</v>
      </c>
    </row>
    <row r="6">
      <c r="A6" t="str">
        <f>Lookups!A6</f>
        <v>North America</v>
      </c>
      <c r="B6">
        <f>COUNTIF(Companies!$C$5:$C$19,A6)</f>
        <v>3</v>
      </c>
      <c r="C6" s="16">
        <f>SUMIF(Companies!$C$5:$C$19,A6,Companies!$E$5:$E$19)</f>
        <v>2500</v>
      </c>
      <c r="D6" s="16">
        <f>SUMIFS(Companies!$E$5:$E$19,Companies!$C$5:$C$19,A6,Companies!$H$5:$H$19,"Unlicensed")</f>
        <v>0</v>
      </c>
      <c r="E6" s="17">
        <f>IFERROR(D6/C6,0)</f>
        <v>0</v>
      </c>
      <c r="F6" s="12">
        <f>IFERROR(AVERAGEIF(Companies!$C$5:$C$19,A6,Companies!$L$5:$L$19),0)</f>
        <v>53.2666666666667</v>
      </c>
    </row>
    <row r="7">
      <c r="A7" t="str">
        <f>Lookups!A7</f>
        <v>China</v>
      </c>
      <c r="B7">
        <f>COUNTIF(Companies!$C$5:$C$19,A7)</f>
        <v>3</v>
      </c>
      <c r="C7" s="16">
        <f>SUMIF(Companies!$C$5:$C$19,A7,Companies!$E$5:$E$19)</f>
        <v>6100</v>
      </c>
      <c r="D7" s="16">
        <f>SUMIFS(Companies!$E$5:$E$19,Companies!$C$5:$C$19,A7,Companies!$H$5:$H$19,"Unlicensed")</f>
        <v>3000</v>
      </c>
      <c r="E7" s="17">
        <f>IFERROR(D7/C7,0)</f>
        <v>0.491803278688525</v>
      </c>
      <c r="F7" s="12">
        <f>IFERROR(AVERAGEIF(Companies!$C$5:$C$19,A7,Companies!$L$5:$L$19),0)</f>
        <v>82.8333333333333</v>
      </c>
    </row>
    <row r="8">
      <c r="A8" t="str">
        <f>Lookups!A8</f>
        <v>India</v>
      </c>
      <c r="B8">
        <f>COUNTIF(Companies!$C$5:$C$19,A8)</f>
        <v>2</v>
      </c>
      <c r="C8" s="16">
        <f>SUMIF(Companies!$C$5:$C$19,A8,Companies!$E$5:$E$19)</f>
        <v>1170</v>
      </c>
      <c r="D8" s="16">
        <f>SUMIFS(Companies!$E$5:$E$19,Companies!$C$5:$C$19,A8,Companies!$H$5:$H$19,"Unlicensed")</f>
        <v>980</v>
      </c>
      <c r="E8" s="17">
        <f>IFERROR(D8/C8,0)</f>
        <v>0.837606837606838</v>
      </c>
      <c r="F8" s="12">
        <f>IFERROR(AVERAGEIF(Companies!$C$5:$C$19,A8,Companies!$L$5:$L$19),0)</f>
        <v>48.2</v>
      </c>
    </row>
    <row r="9">
      <c r="A9" t="str">
        <f>Lookups!A9</f>
        <v>Southeast Asia</v>
      </c>
      <c r="B9">
        <f>COUNTIF(Companies!$C$5:$C$19,A9)</f>
        <v>2</v>
      </c>
      <c r="C9" s="16">
        <f>SUMIF(Companies!$C$5:$C$19,A9,Companies!$E$5:$E$19)</f>
        <v>1860</v>
      </c>
      <c r="D9" s="16">
        <f>SUMIFS(Companies!$E$5:$E$19,Companies!$C$5:$C$19,A9,Companies!$H$5:$H$19,"Unlicensed")</f>
        <v>1100</v>
      </c>
      <c r="E9" s="17">
        <f>IFERROR(D9/C9,0)</f>
        <v>0.591397849462366</v>
      </c>
      <c r="F9" s="12">
        <f>IFERROR(AVERAGEIF(Companies!$C$5:$C$19,A9,Companies!$L$5:$L$19),0)</f>
        <v>56.4</v>
      </c>
    </row>
    <row r="10">
      <c r="A10" t="str">
        <f>Lookups!A10</f>
        <v>Latin America</v>
      </c>
      <c r="B10">
        <f>COUNTIF(Companies!$C$5:$C$19,A10)</f>
        <v>1</v>
      </c>
      <c r="C10" s="16">
        <f>SUMIF(Companies!$C$5:$C$19,A10,Companies!$E$5:$E$19)</f>
        <v>640</v>
      </c>
      <c r="D10" s="16">
        <f>SUMIFS(Companies!$E$5:$E$19,Companies!$C$5:$C$19,A10,Companies!$H$5:$H$19,"Unlicensed")</f>
        <v>640</v>
      </c>
      <c r="E10" s="17">
        <f>IFERROR(D10/C10,0)</f>
        <v>1</v>
      </c>
      <c r="F10" s="12">
        <f>IFERROR(AVERAGEIF(Companies!$C$5:$C$19,A10,Companies!$L$5:$L$19),0)</f>
        <v>49.4</v>
      </c>
    </row>
    <row r="11">
      <c r="A11" t="str">
        <f>Lookups!A11</f>
        <v>Middle East &amp; Africa</v>
      </c>
      <c r="B11">
        <f>COUNTIF(Companies!$C$5:$C$19,A11)</f>
        <v>1</v>
      </c>
      <c r="C11" s="16">
        <f>SUMIF(Companies!$C$5:$C$19,A11,Companies!$E$5:$E$19)</f>
        <v>420</v>
      </c>
      <c r="D11" s="16">
        <f>SUMIFS(Companies!$E$5:$E$19,Companies!$C$5:$C$19,A11,Companies!$H$5:$H$19,"Unlicensed")</f>
        <v>420</v>
      </c>
      <c r="E11" s="17">
        <f>IFERROR(D11/C11,0)</f>
        <v>1</v>
      </c>
      <c r="F11" s="12">
        <f>IFERROR(AVERAGEIF(Companies!$C$5:$C$19,A11,Companies!$L$5:$L$19),0)</f>
        <v>46.9</v>
      </c>
    </row>
    <row r="12">
      <c r="A12" s="13" t="inlineStr">
        <is>
          <t>Total</t>
        </is>
      </c>
      <c r="B12" s="18">
        <f>SUM(B5:B11)</f>
        <v>15</v>
      </c>
      <c r="C12" s="18">
        <f>SUM(C5:C11)</f>
        <v>16120</v>
      </c>
      <c r="D12" s="18">
        <f>SUM(D5:D11)</f>
        <v>6140</v>
      </c>
      <c r="E12" s="17">
        <f>IFERROR(D12/C12,0)</f>
        <v>0.380893300248139</v>
      </c>
    </row>
    <row r="15">
      <c r="A15" s="7" t="inlineStr">
        <is>
          <t>Rank</t>
        </is>
      </c>
      <c r="B15" s="7" t="inlineStr">
        <is>
          <t>Company</t>
        </is>
      </c>
      <c r="C15" s="7" t="inlineStr">
        <is>
          <t>Region</t>
        </is>
      </c>
      <c r="D15" s="7" t="inlineStr">
        <is>
          <t>Licence status</t>
        </is>
      </c>
      <c r="E15" s="7" t="inlineStr">
        <is>
          <t>Priority score</t>
        </is>
      </c>
    </row>
    <row r="16">
      <c r="A16" t="n">
        <v>1</v>
      </c>
      <c r="B16" t="str">
        <f>_xlfn.XLOOKUP($A16,Rank_Col,Companies!$B$5:$B$19,"n/a")</f>
        <v>Solstice EV</v>
      </c>
      <c r="C16" t="str">
        <f>_xlfn.XLOOKUP($A16,Rank_Col,Companies!$C$5:$C$19,"n/a")</f>
        <v>China</v>
      </c>
      <c r="D16" t="str">
        <f>_xlfn.XLOOKUP($A16,Rank_Col,Companies!$H$5:$H$19,"n/a")</f>
        <v>In negotiation</v>
      </c>
      <c r="E16" s="12">
        <f>_xlfn.XLOOKUP($A16,Rank_Col,Companies!$L$5:$L$19,"n/a")</f>
        <v>85.8</v>
      </c>
    </row>
    <row r="17">
      <c r="A17" t="n">
        <v>2</v>
      </c>
      <c r="B17" t="str">
        <f>_xlfn.XLOOKUP($A17,Rank_Col,Companies!$B$5:$B$19,"n/a")</f>
        <v>Lotus Blossom Auto</v>
      </c>
      <c r="C17" t="str">
        <f>_xlfn.XLOOKUP($A17,Rank_Col,Companies!$C$5:$C$19,"n/a")</f>
        <v>China</v>
      </c>
      <c r="D17" t="str">
        <f>_xlfn.XLOOKUP($A17,Rank_Col,Companies!$H$5:$H$19,"n/a")</f>
        <v>Unlicensed</v>
      </c>
      <c r="E17" s="12">
        <f>_xlfn.XLOOKUP($A17,Rank_Col,Companies!$L$5:$L$19,"n/a")</f>
        <v>83.6</v>
      </c>
    </row>
    <row r="18">
      <c r="A18" t="n">
        <v>3</v>
      </c>
      <c r="B18" t="str">
        <f>_xlfn.XLOOKUP($A18,Rank_Col,Companies!$B$5:$B$19,"n/a")</f>
        <v>Kestrel Mobility</v>
      </c>
      <c r="C18" t="str">
        <f>_xlfn.XLOOKUP($A18,Rank_Col,Companies!$C$5:$C$19,"n/a")</f>
        <v>China</v>
      </c>
      <c r="D18" t="str">
        <f>_xlfn.XLOOKUP($A18,Rank_Col,Companies!$H$5:$H$19,"n/a")</f>
        <v>Unlicensed</v>
      </c>
      <c r="E18" s="12">
        <f>_xlfn.XLOOKUP($A18,Rank_Col,Companies!$L$5:$L$19,"n/a")</f>
        <v>79.1</v>
      </c>
    </row>
    <row r="19">
      <c r="A19" t="n">
        <v>4</v>
      </c>
      <c r="B19" t="str">
        <f>_xlfn.XLOOKUP($A19,Rank_Col,Companies!$B$5:$B$19,"n/a")</f>
        <v>Aurora Motors</v>
      </c>
      <c r="C19" t="str">
        <f>_xlfn.XLOOKUP($A19,Rank_Col,Companies!$C$5:$C$19,"n/a")</f>
        <v>Europe</v>
      </c>
      <c r="D19" t="str">
        <f>_xlfn.XLOOKUP($A19,Rank_Col,Companies!$H$5:$H$19,"n/a")</f>
        <v>Pool licence</v>
      </c>
      <c r="E19" s="12">
        <f>_xlfn.XLOOKUP($A19,Rank_Col,Companies!$L$5:$L$19,"n/a")</f>
        <v>61.7</v>
      </c>
    </row>
    <row r="20">
      <c r="A20" t="n">
        <v>5</v>
      </c>
      <c r="B20" t="str">
        <f>_xlfn.XLOOKUP($A20,Rank_Col,Companies!$B$5:$B$19,"n/a")</f>
        <v>Harbor City Motors</v>
      </c>
      <c r="C20" t="str">
        <f>_xlfn.XLOOKUP($A20,Rank_Col,Companies!$C$5:$C$19,"n/a")</f>
        <v>Southeast Asia</v>
      </c>
      <c r="D20" t="str">
        <f>_xlfn.XLOOKUP($A20,Rank_Col,Companies!$H$5:$H$19,"n/a")</f>
        <v>In negotiation</v>
      </c>
      <c r="E20" s="12">
        <f>_xlfn.XLOOKUP($A20,Rank_Col,Companies!$L$5:$L$19,"n/a")</f>
        <v>60.4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" customWidth="1" min="3" max="3"/>
    <col width="18" customWidth="1" min="4" max="4"/>
    <col width="18" customWidth="1" min="5" max="5"/>
    <col width="3" customWidth="1" min="6" max="6"/>
    <col width="14" customWidth="1" min="7" max="7"/>
    <col width="3" customWidth="1" min="8" max="8"/>
    <col width="22" customWidth="1" min="9" max="9"/>
    <col width="12" customWidth="1" min="10" max="10"/>
    <col width="10" customWidth="1" min="11" max="11"/>
  </cols>
  <sheetData>
    <row r="1" ht="30" customHeight="1">
      <c r="A1" s="4" t="inlineStr">
        <is>
          <t>Lookups and weights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>
      <c r="A2" s="6" t="inlineStr">
        <is>
          <t>Blue cells are inputs.</t>
        </is>
      </c>
    </row>
    <row r="4">
      <c r="A4" s="7" t="inlineStr">
        <is>
          <t>Region</t>
        </is>
      </c>
      <c r="B4" s="7" t="inlineStr">
        <is>
          <t>Export exposure factor</t>
        </is>
      </c>
      <c r="D4" s="7" t="inlineStr">
        <is>
          <t>Licence status</t>
        </is>
      </c>
      <c r="E4" s="7" t="inlineStr">
        <is>
          <t>Opportunity factor</t>
        </is>
      </c>
      <c r="G4" s="7" t="inlineStr">
        <is>
          <t>Segment</t>
        </is>
      </c>
      <c r="I4" s="7" t="inlineStr">
        <is>
          <t>Scoring weight</t>
        </is>
      </c>
      <c r="J4" s="7" t="inlineStr">
        <is>
          <t>Name</t>
        </is>
      </c>
      <c r="K4" s="7" t="inlineStr">
        <is>
          <t>Weight</t>
        </is>
      </c>
    </row>
    <row r="5">
      <c r="A5" t="inlineStr">
        <is>
          <t>Europe</t>
        </is>
      </c>
      <c r="B5" s="8" t="n">
        <v>0.9</v>
      </c>
      <c r="D5" t="inlineStr">
        <is>
          <t>Unlicensed</t>
        </is>
      </c>
      <c r="E5" s="8" t="n">
        <v>1</v>
      </c>
      <c r="G5" t="inlineStr">
        <is>
          <t>Passenger</t>
        </is>
      </c>
      <c r="I5" t="inlineStr">
        <is>
          <t>Scale (annual units)</t>
        </is>
      </c>
      <c r="J5" t="inlineStr">
        <is>
          <t>W_Scale</t>
        </is>
      </c>
      <c r="K5" s="10" t="n">
        <v>0.25</v>
      </c>
    </row>
    <row r="6">
      <c r="A6" t="inlineStr">
        <is>
          <t>North America</t>
        </is>
      </c>
      <c r="B6" s="8" t="n">
        <v>1</v>
      </c>
      <c r="D6" t="inlineStr">
        <is>
          <t>In negotiation</t>
        </is>
      </c>
      <c r="E6" s="8" t="n">
        <v>0.7</v>
      </c>
      <c r="G6" t="inlineStr">
        <is>
          <t>Commercial</t>
        </is>
      </c>
      <c r="I6" t="inlineStr">
        <is>
          <t>Connected share</t>
        </is>
      </c>
      <c r="J6" t="inlineStr">
        <is>
          <t>W_Conn</t>
        </is>
      </c>
      <c r="K6" s="10" t="n">
        <v>0.15</v>
      </c>
    </row>
    <row r="7">
      <c r="A7" t="inlineStr">
        <is>
          <t>China</t>
        </is>
      </c>
      <c r="B7" s="8" t="n">
        <v>0.7</v>
      </c>
      <c r="D7" t="inlineStr">
        <is>
          <t>Bilateral licence</t>
        </is>
      </c>
      <c r="E7" s="8" t="n">
        <v>0.2</v>
      </c>
      <c r="I7" t="inlineStr">
        <is>
          <t>5G models planned</t>
        </is>
      </c>
      <c r="J7" t="inlineStr">
        <is>
          <t>W_5G</t>
        </is>
      </c>
      <c r="K7" s="10" t="n">
        <v>0.15</v>
      </c>
    </row>
    <row r="8">
      <c r="A8" t="inlineStr">
        <is>
          <t>India</t>
        </is>
      </c>
      <c r="B8" s="8" t="n">
        <v>0.6</v>
      </c>
      <c r="D8" t="inlineStr">
        <is>
          <t>Pool licence</t>
        </is>
      </c>
      <c r="E8" s="8" t="n">
        <v>0</v>
      </c>
      <c r="I8" t="inlineStr">
        <is>
          <t>Region exposure</t>
        </is>
      </c>
      <c r="J8" t="inlineStr">
        <is>
          <t>W_Geo</t>
        </is>
      </c>
      <c r="K8" s="10" t="n">
        <v>0.15</v>
      </c>
    </row>
    <row r="9">
      <c r="A9" t="inlineStr">
        <is>
          <t>Southeast Asia</t>
        </is>
      </c>
      <c r="B9" s="8" t="n">
        <v>0.5</v>
      </c>
      <c r="I9" t="inlineStr">
        <is>
          <t>Licence gap</t>
        </is>
      </c>
      <c r="J9" t="inlineStr">
        <is>
          <t>W_Lic</t>
        </is>
      </c>
      <c r="K9" s="10" t="n">
        <v>0.3</v>
      </c>
    </row>
    <row r="10">
      <c r="A10" t="inlineStr">
        <is>
          <t>Latin America</t>
        </is>
      </c>
      <c r="B10" s="8" t="n">
        <v>0.4</v>
      </c>
      <c r="I10" s="13" t="inlineStr">
        <is>
          <t>Total (must be 100%)</t>
        </is>
      </c>
      <c r="K10" s="19">
        <f>SUM(K5:K9)</f>
        <v>1</v>
      </c>
    </row>
    <row r="11">
      <c r="A11" t="inlineStr">
        <is>
          <t>Middle East &amp; Africa</t>
        </is>
      </c>
      <c r="B11" s="8" t="n">
        <v>0.4</v>
      </c>
    </row>
  </sheetData>
  <conditionalFormatting sqref="K10">
    <cfRule type="expression" priority="1" dxfId="6">
      <formula>ROUND($K$10,4)&lt;&gt;1</formula>
    </cfRule>
    <cfRule type="expression" priority="2" dxfId="3">
      <formula>ROUND($K$10,4)=1</formula>
    </cfRule>
  </conditionalFormatting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2" customWidth="1" min="4" max="4"/>
  </cols>
  <sheetData>
    <row r="1" ht="30" customHeight="1">
      <c r="A1" s="4" t="inlineStr">
        <is>
          <t>Raw monthly shipments (messy on purpose)</t>
        </is>
      </c>
      <c r="B1" s="5" t="n"/>
      <c r="C1" s="5" t="n"/>
      <c r="D1" s="5" t="n"/>
      <c r="E1" s="5" t="n"/>
    </row>
    <row r="2">
      <c r="A2" s="6" t="inlineStr">
        <is>
          <t>Trailing spaces, mixed case, blanks and zeros. The Power Query on PQ_Query cleans this.</t>
        </is>
      </c>
    </row>
    <row r="4">
      <c r="A4" s="7" t="inlineStr">
        <is>
          <t>Month</t>
        </is>
      </c>
      <c r="B4" s="7" t="inlineStr">
        <is>
          <t>Company</t>
        </is>
      </c>
      <c r="C4" s="7" t="inlineStr">
        <is>
          <t>Region</t>
        </is>
      </c>
      <c r="D4" s="7" t="inlineStr">
        <is>
          <t>Units</t>
        </is>
      </c>
    </row>
    <row r="5">
      <c r="A5" s="20" t="n">
        <v>45658</v>
      </c>
      <c r="B5" t="inlineStr">
        <is>
          <t>Aurora Motors</t>
        </is>
      </c>
      <c r="C5" t="inlineStr">
        <is>
          <t>Europe</t>
        </is>
      </c>
      <c r="D5" s="16" t="n">
        <v>197143</v>
      </c>
    </row>
    <row r="6">
      <c r="A6" s="20" t="n">
        <v>45689</v>
      </c>
      <c r="B6" t="inlineStr">
        <is>
          <t>Aurora Motors</t>
        </is>
      </c>
      <c r="C6" t="inlineStr">
        <is>
          <t>Europe</t>
        </is>
      </c>
      <c r="D6" s="16" t="n">
        <v>197939</v>
      </c>
    </row>
    <row r="7">
      <c r="A7" s="20" t="n">
        <v>45717</v>
      </c>
      <c r="B7" t="inlineStr">
        <is>
          <t>Aurora Motors</t>
        </is>
      </c>
      <c r="C7" t="inlineStr">
        <is>
          <t>Europe</t>
        </is>
      </c>
      <c r="D7" s="16" t="n">
        <v>181080</v>
      </c>
    </row>
    <row r="8">
      <c r="A8" s="20" t="n">
        <v>45748</v>
      </c>
      <c r="B8" t="inlineStr">
        <is>
          <t xml:space="preserve">Aurora Motors </t>
        </is>
      </c>
      <c r="C8" t="inlineStr">
        <is>
          <t>Europe</t>
        </is>
      </c>
      <c r="D8" s="16" t="n">
        <v>217579</v>
      </c>
    </row>
    <row r="9">
      <c r="A9" s="20" t="n">
        <v>45778</v>
      </c>
      <c r="B9" t="inlineStr">
        <is>
          <t>Aurora Motors</t>
        </is>
      </c>
      <c r="C9" t="inlineStr">
        <is>
          <t>Europe</t>
        </is>
      </c>
      <c r="D9" s="16" t="n">
        <v>175440</v>
      </c>
    </row>
    <row r="10">
      <c r="A10" s="20" t="n">
        <v>45809</v>
      </c>
      <c r="B10" t="inlineStr">
        <is>
          <t>Aurora Motors</t>
        </is>
      </c>
      <c r="C10" t="inlineStr">
        <is>
          <t>Europe</t>
        </is>
      </c>
      <c r="D10" s="16" t="n">
        <v>172513</v>
      </c>
    </row>
    <row r="11">
      <c r="A11" s="20" t="n">
        <v>45839</v>
      </c>
      <c r="B11" t="inlineStr">
        <is>
          <t>Aurora Motors</t>
        </is>
      </c>
      <c r="C11" t="inlineStr">
        <is>
          <t>Europe</t>
        </is>
      </c>
      <c r="D11" s="16" t="n">
        <v>209235</v>
      </c>
    </row>
    <row r="12">
      <c r="A12" s="20" t="n">
        <v>45870</v>
      </c>
      <c r="B12" t="inlineStr">
        <is>
          <t>Aurora Motors</t>
        </is>
      </c>
      <c r="C12" t="inlineStr">
        <is>
          <t>Europe</t>
        </is>
      </c>
      <c r="D12" s="16" t="n">
        <v>0</v>
      </c>
    </row>
    <row r="13">
      <c r="A13" s="20" t="n">
        <v>45901</v>
      </c>
      <c r="B13" t="inlineStr">
        <is>
          <t>Aurora Motors</t>
        </is>
      </c>
      <c r="C13" t="inlineStr">
        <is>
          <t>Europe</t>
        </is>
      </c>
    </row>
    <row r="14">
      <c r="A14" s="20" t="n">
        <v>45931</v>
      </c>
      <c r="B14" t="inlineStr">
        <is>
          <t>Aurora Motors</t>
        </is>
      </c>
      <c r="C14" t="inlineStr">
        <is>
          <t>Europe</t>
        </is>
      </c>
      <c r="D14" s="16" t="n">
        <v>197836</v>
      </c>
    </row>
    <row r="15">
      <c r="A15" s="20" t="n">
        <v>45962</v>
      </c>
      <c r="B15" t="inlineStr">
        <is>
          <t>Aurora Motors</t>
        </is>
      </c>
      <c r="C15" t="inlineStr">
        <is>
          <t>Europe</t>
        </is>
      </c>
      <c r="D15" s="16" t="n">
        <v>201147</v>
      </c>
    </row>
    <row r="16">
      <c r="A16" s="20" t="n">
        <v>45992</v>
      </c>
      <c r="B16" t="inlineStr">
        <is>
          <t>Aurora Motors</t>
        </is>
      </c>
      <c r="C16" t="inlineStr">
        <is>
          <t>Europe</t>
        </is>
      </c>
      <c r="D16" s="16" t="n">
        <v>209747</v>
      </c>
    </row>
    <row r="17">
      <c r="A17" s="20" t="n">
        <v>45658</v>
      </c>
      <c r="B17" t="inlineStr">
        <is>
          <t>Vantage Auto</t>
        </is>
      </c>
      <c r="C17" t="inlineStr">
        <is>
          <t>North America</t>
        </is>
      </c>
      <c r="D17" s="16" t="n">
        <v>181972</v>
      </c>
    </row>
    <row r="18">
      <c r="A18" s="20" t="n">
        <v>45689</v>
      </c>
      <c r="B18" t="inlineStr">
        <is>
          <t>Vantage Auto</t>
        </is>
      </c>
      <c r="C18" t="inlineStr">
        <is>
          <t>North America</t>
        </is>
      </c>
      <c r="D18" s="16" t="n">
        <v>168204</v>
      </c>
    </row>
    <row r="19">
      <c r="A19" s="20" t="n">
        <v>45717</v>
      </c>
      <c r="B19" t="inlineStr">
        <is>
          <t xml:space="preserve">Vantage Auto </t>
        </is>
      </c>
      <c r="C19" t="inlineStr">
        <is>
          <t>North America</t>
        </is>
      </c>
      <c r="D19" s="16" t="n">
        <v>148313</v>
      </c>
    </row>
    <row r="20">
      <c r="A20" s="20" t="n">
        <v>45748</v>
      </c>
      <c r="B20" t="inlineStr">
        <is>
          <t>Vantage Auto</t>
        </is>
      </c>
      <c r="C20" t="inlineStr">
        <is>
          <t>North America</t>
        </is>
      </c>
      <c r="D20" s="16" t="n">
        <v>153602</v>
      </c>
    </row>
    <row r="21">
      <c r="A21" s="20" t="n">
        <v>45778</v>
      </c>
      <c r="B21" t="inlineStr">
        <is>
          <t>Vantage Auto</t>
        </is>
      </c>
      <c r="C21" t="inlineStr">
        <is>
          <t>North America</t>
        </is>
      </c>
    </row>
    <row r="22">
      <c r="A22" s="20" t="n">
        <v>45809</v>
      </c>
      <c r="B22" t="inlineStr">
        <is>
          <t>Vantage Auto</t>
        </is>
      </c>
      <c r="C22" t="inlineStr">
        <is>
          <t>North America</t>
        </is>
      </c>
      <c r="D22" s="16" t="n">
        <v>144545</v>
      </c>
    </row>
    <row r="23">
      <c r="A23" s="20" t="n">
        <v>45839</v>
      </c>
      <c r="B23" t="inlineStr">
        <is>
          <t>Vantage Auto</t>
        </is>
      </c>
      <c r="C23" t="inlineStr">
        <is>
          <t>North America</t>
        </is>
      </c>
      <c r="D23" s="16" t="n">
        <v>181150</v>
      </c>
    </row>
    <row r="24">
      <c r="A24" s="20" t="n">
        <v>45870</v>
      </c>
      <c r="B24" t="inlineStr">
        <is>
          <t>Vantage Auto</t>
        </is>
      </c>
      <c r="C24" t="inlineStr">
        <is>
          <t>North America</t>
        </is>
      </c>
      <c r="D24" s="16" t="n">
        <v>164482</v>
      </c>
    </row>
    <row r="25">
      <c r="A25" s="20" t="n">
        <v>45901</v>
      </c>
      <c r="B25" t="inlineStr">
        <is>
          <t>Vantage Auto</t>
        </is>
      </c>
      <c r="C25" t="inlineStr">
        <is>
          <t>North America</t>
        </is>
      </c>
      <c r="D25" s="16" t="n">
        <v>138723</v>
      </c>
    </row>
    <row r="26">
      <c r="A26" s="20" t="n">
        <v>45931</v>
      </c>
      <c r="B26" t="inlineStr">
        <is>
          <t>vantage auto</t>
        </is>
      </c>
      <c r="C26" t="inlineStr">
        <is>
          <t>North America</t>
        </is>
      </c>
      <c r="D26" s="16" t="n">
        <v>170590</v>
      </c>
    </row>
    <row r="27">
      <c r="A27" s="20" t="n">
        <v>45962</v>
      </c>
      <c r="B27" t="inlineStr">
        <is>
          <t xml:space="preserve">Vantage Auto </t>
        </is>
      </c>
      <c r="C27" t="inlineStr">
        <is>
          <t>North America</t>
        </is>
      </c>
      <c r="D27" s="16" t="n">
        <v>139383</v>
      </c>
    </row>
    <row r="28">
      <c r="A28" s="20" t="n">
        <v>45992</v>
      </c>
      <c r="B28" t="inlineStr">
        <is>
          <t>Vantage Auto</t>
        </is>
      </c>
      <c r="C28" t="inlineStr">
        <is>
          <t>North America</t>
        </is>
      </c>
      <c r="D28" s="16" t="n">
        <v>143023</v>
      </c>
    </row>
    <row r="29">
      <c r="A29" s="20" t="n">
        <v>45658</v>
      </c>
      <c r="B29" t="inlineStr">
        <is>
          <t>Solstice EV</t>
        </is>
      </c>
      <c r="C29" t="inlineStr">
        <is>
          <t>China</t>
        </is>
      </c>
      <c r="D29" s="16" t="n">
        <v>234361</v>
      </c>
    </row>
    <row r="30">
      <c r="A30" s="20" t="n">
        <v>45689</v>
      </c>
      <c r="B30" t="inlineStr">
        <is>
          <t>solstice ev</t>
        </is>
      </c>
      <c r="C30" t="inlineStr">
        <is>
          <t>China</t>
        </is>
      </c>
      <c r="D30" s="16" t="n">
        <v>269471</v>
      </c>
    </row>
    <row r="31">
      <c r="A31" s="20" t="n">
        <v>45717</v>
      </c>
      <c r="B31" t="inlineStr">
        <is>
          <t>Solstice EV</t>
        </is>
      </c>
      <c r="C31" t="inlineStr">
        <is>
          <t>China</t>
        </is>
      </c>
      <c r="D31" s="16" t="n">
        <v>236080</v>
      </c>
    </row>
    <row r="32">
      <c r="A32" s="20" t="n">
        <v>45748</v>
      </c>
      <c r="B32" t="inlineStr">
        <is>
          <t>Solstice EV</t>
        </is>
      </c>
      <c r="C32" t="inlineStr">
        <is>
          <t>China</t>
        </is>
      </c>
      <c r="D32" s="16" t="n">
        <v>281848</v>
      </c>
    </row>
    <row r="33">
      <c r="A33" s="20" t="n">
        <v>45778</v>
      </c>
      <c r="B33" t="inlineStr">
        <is>
          <t>Solstice EV</t>
        </is>
      </c>
      <c r="C33" t="inlineStr">
        <is>
          <t>China</t>
        </is>
      </c>
      <c r="D33" s="16" t="n">
        <v>235913</v>
      </c>
    </row>
    <row r="34">
      <c r="A34" s="20" t="n">
        <v>45809</v>
      </c>
      <c r="B34" t="inlineStr">
        <is>
          <t>solstice ev</t>
        </is>
      </c>
      <c r="C34" t="inlineStr">
        <is>
          <t>China</t>
        </is>
      </c>
      <c r="D34" s="16" t="n">
        <v>269326</v>
      </c>
    </row>
    <row r="35">
      <c r="A35" s="20" t="n">
        <v>45839</v>
      </c>
      <c r="B35" t="inlineStr">
        <is>
          <t>Solstice EV</t>
        </is>
      </c>
      <c r="C35" t="inlineStr">
        <is>
          <t>China</t>
        </is>
      </c>
      <c r="D35" s="16" t="n">
        <v>236110</v>
      </c>
    </row>
    <row r="36">
      <c r="A36" s="20" t="n">
        <v>45870</v>
      </c>
      <c r="B36" t="inlineStr">
        <is>
          <t>Solstice EV</t>
        </is>
      </c>
      <c r="C36" t="inlineStr">
        <is>
          <t>China</t>
        </is>
      </c>
      <c r="D36" s="16" t="n">
        <v>245077</v>
      </c>
    </row>
    <row r="37">
      <c r="A37" s="20" t="n">
        <v>45901</v>
      </c>
      <c r="B37" t="inlineStr">
        <is>
          <t>Solstice EV</t>
        </is>
      </c>
      <c r="C37" t="inlineStr">
        <is>
          <t>China</t>
        </is>
      </c>
      <c r="D37" s="16" t="n">
        <v>226567</v>
      </c>
    </row>
    <row r="38">
      <c r="A38" s="20" t="n">
        <v>45931</v>
      </c>
      <c r="B38" t="inlineStr">
        <is>
          <t>Solstice EV</t>
        </is>
      </c>
      <c r="C38" t="inlineStr">
        <is>
          <t>China</t>
        </is>
      </c>
      <c r="D38" s="16" t="n">
        <v>266183</v>
      </c>
    </row>
    <row r="39">
      <c r="A39" s="20" t="n">
        <v>45962</v>
      </c>
      <c r="B39" t="inlineStr">
        <is>
          <t>Solstice EV</t>
        </is>
      </c>
      <c r="C39" t="inlineStr">
        <is>
          <t>China</t>
        </is>
      </c>
      <c r="D39" s="16" t="n">
        <v>293916</v>
      </c>
    </row>
    <row r="40">
      <c r="A40" s="20" t="n">
        <v>45992</v>
      </c>
      <c r="B40" t="inlineStr">
        <is>
          <t xml:space="preserve"> SOLSTICE EV</t>
        </is>
      </c>
      <c r="C40" t="inlineStr">
        <is>
          <t>China</t>
        </is>
      </c>
      <c r="D40" s="16" t="n">
        <v>286739</v>
      </c>
    </row>
    <row r="41">
      <c r="A41" s="20" t="n">
        <v>45658</v>
      </c>
      <c r="B41" t="inlineStr">
        <is>
          <t>Kestrel Mobility</t>
        </is>
      </c>
      <c r="C41" t="inlineStr">
        <is>
          <t>China</t>
        </is>
      </c>
      <c r="D41" s="16" t="n">
        <v>116930</v>
      </c>
    </row>
    <row r="42">
      <c r="A42" s="20" t="n">
        <v>45689</v>
      </c>
      <c r="B42" t="inlineStr">
        <is>
          <t>Kestrel Mobility</t>
        </is>
      </c>
      <c r="C42" t="inlineStr">
        <is>
          <t>China</t>
        </is>
      </c>
      <c r="D42" s="16" t="n">
        <v>94473</v>
      </c>
    </row>
    <row r="43">
      <c r="A43" s="20" t="n">
        <v>45717</v>
      </c>
      <c r="B43" t="inlineStr">
        <is>
          <t>Kestrel Mobility</t>
        </is>
      </c>
      <c r="C43" t="inlineStr">
        <is>
          <t>China</t>
        </is>
      </c>
      <c r="D43" s="16" t="n">
        <v>94685</v>
      </c>
    </row>
    <row r="44">
      <c r="A44" s="20" t="n">
        <v>45748</v>
      </c>
      <c r="B44" t="inlineStr">
        <is>
          <t>Kestrel Mobility</t>
        </is>
      </c>
      <c r="C44" t="inlineStr">
        <is>
          <t>China</t>
        </is>
      </c>
      <c r="D44" s="16" t="n">
        <v>107402</v>
      </c>
    </row>
    <row r="45">
      <c r="A45" s="20" t="n">
        <v>45778</v>
      </c>
      <c r="B45" t="inlineStr">
        <is>
          <t>Kestrel Mobility</t>
        </is>
      </c>
      <c r="C45" t="inlineStr">
        <is>
          <t>China</t>
        </is>
      </c>
      <c r="D45" s="16" t="n">
        <v>89751</v>
      </c>
    </row>
    <row r="46">
      <c r="A46" s="20" t="n">
        <v>45809</v>
      </c>
      <c r="B46" t="inlineStr">
        <is>
          <t>Kestrel Mobility</t>
        </is>
      </c>
      <c r="C46" t="inlineStr">
        <is>
          <t>China</t>
        </is>
      </c>
      <c r="D46" s="16" t="n">
        <v>110560</v>
      </c>
    </row>
    <row r="47">
      <c r="A47" s="20" t="n">
        <v>45839</v>
      </c>
      <c r="B47" t="inlineStr">
        <is>
          <t>Kestrel Mobility</t>
        </is>
      </c>
      <c r="C47" t="inlineStr">
        <is>
          <t>China</t>
        </is>
      </c>
      <c r="D47" s="16" t="n">
        <v>107181</v>
      </c>
    </row>
    <row r="48">
      <c r="A48" s="20" t="n">
        <v>45870</v>
      </c>
      <c r="B48" t="inlineStr">
        <is>
          <t xml:space="preserve">Kestrel Mobility </t>
        </is>
      </c>
      <c r="C48" t="inlineStr">
        <is>
          <t>China</t>
        </is>
      </c>
      <c r="D48" s="16" t="n">
        <v>111053</v>
      </c>
    </row>
    <row r="49">
      <c r="A49" s="20" t="n">
        <v>45901</v>
      </c>
      <c r="B49" t="inlineStr">
        <is>
          <t>Kestrel Mobility</t>
        </is>
      </c>
      <c r="C49" t="inlineStr">
        <is>
          <t>China</t>
        </is>
      </c>
      <c r="D49" s="16" t="n">
        <v>106022</v>
      </c>
    </row>
    <row r="50">
      <c r="A50" s="20" t="n">
        <v>45931</v>
      </c>
      <c r="B50" t="inlineStr">
        <is>
          <t>Kestrel Mobility</t>
        </is>
      </c>
      <c r="C50" t="inlineStr">
        <is>
          <t>China</t>
        </is>
      </c>
      <c r="D50" s="16" t="n">
        <v>97299</v>
      </c>
    </row>
    <row r="51">
      <c r="A51" s="20" t="n">
        <v>45962</v>
      </c>
      <c r="B51" t="inlineStr">
        <is>
          <t>Kestrel Mobility</t>
        </is>
      </c>
      <c r="C51" t="inlineStr">
        <is>
          <t>China</t>
        </is>
      </c>
      <c r="D51" s="16" t="n">
        <v>89060</v>
      </c>
    </row>
    <row r="52">
      <c r="A52" s="20" t="n">
        <v>45992</v>
      </c>
      <c r="B52" t="inlineStr">
        <is>
          <t xml:space="preserve"> KESTREL MOBILITY</t>
        </is>
      </c>
      <c r="C52" t="inlineStr">
        <is>
          <t>China</t>
        </is>
      </c>
      <c r="D52" s="16" t="n">
        <v>90431</v>
      </c>
    </row>
    <row r="53">
      <c r="A53" s="20" t="n">
        <v>45658</v>
      </c>
      <c r="B53" t="inlineStr">
        <is>
          <t>bharat drive co</t>
        </is>
      </c>
      <c r="C53" t="inlineStr">
        <is>
          <t>India</t>
        </is>
      </c>
      <c r="D53" s="16" t="n">
        <v>83435</v>
      </c>
    </row>
    <row r="54">
      <c r="A54" s="20" t="n">
        <v>45689</v>
      </c>
      <c r="B54" t="inlineStr">
        <is>
          <t>Bharat Drive Co</t>
        </is>
      </c>
      <c r="C54" t="inlineStr">
        <is>
          <t>India</t>
        </is>
      </c>
      <c r="D54" s="16" t="n">
        <v>91245</v>
      </c>
    </row>
    <row r="55">
      <c r="A55" s="20" t="n">
        <v>45717</v>
      </c>
      <c r="B55" t="inlineStr">
        <is>
          <t>Bharat Drive Co</t>
        </is>
      </c>
      <c r="C55" t="inlineStr">
        <is>
          <t>India</t>
        </is>
      </c>
      <c r="D55" s="16" t="n">
        <v>86352</v>
      </c>
    </row>
    <row r="56">
      <c r="A56" s="20" t="n">
        <v>45748</v>
      </c>
      <c r="B56" t="inlineStr">
        <is>
          <t xml:space="preserve">Bharat Drive Co </t>
        </is>
      </c>
      <c r="C56" t="inlineStr">
        <is>
          <t>India</t>
        </is>
      </c>
      <c r="D56" s="16" t="n">
        <v>70276</v>
      </c>
    </row>
    <row r="57">
      <c r="A57" s="20" t="n">
        <v>45778</v>
      </c>
      <c r="B57" t="inlineStr">
        <is>
          <t>Bharat Drive Co</t>
        </is>
      </c>
      <c r="C57" t="inlineStr">
        <is>
          <t>India</t>
        </is>
      </c>
    </row>
    <row r="58">
      <c r="A58" s="20" t="n">
        <v>45809</v>
      </c>
      <c r="B58" t="inlineStr">
        <is>
          <t>Bharat Drive Co</t>
        </is>
      </c>
      <c r="C58" t="inlineStr">
        <is>
          <t>India</t>
        </is>
      </c>
      <c r="D58" s="16" t="n">
        <v>85003</v>
      </c>
    </row>
    <row r="59">
      <c r="A59" s="20" t="n">
        <v>45839</v>
      </c>
      <c r="B59" t="inlineStr">
        <is>
          <t>Bharat Drive Co</t>
        </is>
      </c>
      <c r="C59" t="inlineStr">
        <is>
          <t>India</t>
        </is>
      </c>
      <c r="D59" s="16" t="n">
        <v>77230</v>
      </c>
    </row>
    <row r="60">
      <c r="A60" s="20" t="n">
        <v>45870</v>
      </c>
      <c r="B60" t="inlineStr">
        <is>
          <t>Bharat Drive Co</t>
        </is>
      </c>
      <c r="C60" t="inlineStr">
        <is>
          <t>India</t>
        </is>
      </c>
      <c r="D60" s="16" t="n">
        <v>82796</v>
      </c>
    </row>
    <row r="61">
      <c r="A61" s="20" t="n">
        <v>45901</v>
      </c>
      <c r="B61" t="inlineStr">
        <is>
          <t>Bharat Drive Co</t>
        </is>
      </c>
      <c r="C61" t="inlineStr">
        <is>
          <t>India</t>
        </is>
      </c>
      <c r="D61" s="16" t="n">
        <v>87475</v>
      </c>
    </row>
    <row r="62">
      <c r="A62" s="20" t="n">
        <v>45931</v>
      </c>
      <c r="B62" t="inlineStr">
        <is>
          <t>Bharat Drive Co</t>
        </is>
      </c>
      <c r="C62" t="inlineStr">
        <is>
          <t>India</t>
        </is>
      </c>
      <c r="D62" s="16" t="n">
        <v>91834</v>
      </c>
    </row>
    <row r="63">
      <c r="A63" s="20" t="n">
        <v>45962</v>
      </c>
      <c r="B63" t="inlineStr">
        <is>
          <t>Bharat Drive Co</t>
        </is>
      </c>
      <c r="C63" t="inlineStr">
        <is>
          <t>India</t>
        </is>
      </c>
      <c r="D63" s="16" t="n">
        <v>91487</v>
      </c>
    </row>
    <row r="64">
      <c r="A64" s="20" t="n">
        <v>45992</v>
      </c>
      <c r="B64" t="inlineStr">
        <is>
          <t>Bharat Drive Co</t>
        </is>
      </c>
      <c r="C64" t="inlineStr">
        <is>
          <t>India</t>
        </is>
      </c>
      <c r="D64" s="16" t="n">
        <v>88785</v>
      </c>
    </row>
    <row r="65">
      <c r="A65" s="20" t="n">
        <v>45658</v>
      </c>
      <c r="B65" t="inlineStr">
        <is>
          <t>Meridian Trucks</t>
        </is>
      </c>
      <c r="C65" t="inlineStr">
        <is>
          <t>Europe</t>
        </is>
      </c>
      <c r="D65" s="16" t="n">
        <v>26802</v>
      </c>
    </row>
    <row r="66">
      <c r="A66" s="20" t="n">
        <v>45689</v>
      </c>
      <c r="B66" t="inlineStr">
        <is>
          <t xml:space="preserve">Meridian Trucks </t>
        </is>
      </c>
      <c r="C66" t="inlineStr">
        <is>
          <t>Europe</t>
        </is>
      </c>
      <c r="D66" s="16" t="n">
        <v>26677</v>
      </c>
    </row>
    <row r="67">
      <c r="A67" s="20" t="n">
        <v>45717</v>
      </c>
      <c r="B67" t="inlineStr">
        <is>
          <t>Meridian Trucks</t>
        </is>
      </c>
      <c r="C67" t="inlineStr">
        <is>
          <t>Europe</t>
        </is>
      </c>
      <c r="D67" s="16" t="n">
        <v>29657</v>
      </c>
    </row>
    <row r="68">
      <c r="A68" s="20" t="n">
        <v>45748</v>
      </c>
      <c r="B68" t="inlineStr">
        <is>
          <t>Meridian Trucks</t>
        </is>
      </c>
      <c r="C68" t="inlineStr">
        <is>
          <t>Europe</t>
        </is>
      </c>
      <c r="D68" s="16" t="n">
        <v>24969</v>
      </c>
    </row>
    <row r="69">
      <c r="A69" s="20" t="n">
        <v>45778</v>
      </c>
      <c r="B69" t="inlineStr">
        <is>
          <t>Meridian Trucks</t>
        </is>
      </c>
      <c r="C69" t="inlineStr">
        <is>
          <t>Europe</t>
        </is>
      </c>
      <c r="D69" s="16" t="n">
        <v>25372</v>
      </c>
    </row>
    <row r="70">
      <c r="A70" s="20" t="n">
        <v>45809</v>
      </c>
      <c r="B70" t="inlineStr">
        <is>
          <t xml:space="preserve">Meridian Trucks </t>
        </is>
      </c>
      <c r="C70" t="inlineStr">
        <is>
          <t>Europe</t>
        </is>
      </c>
      <c r="D70" s="16" t="n">
        <v>27772</v>
      </c>
    </row>
    <row r="71">
      <c r="A71" s="20" t="n">
        <v>45839</v>
      </c>
      <c r="B71" t="inlineStr">
        <is>
          <t>Meridian Trucks</t>
        </is>
      </c>
      <c r="C71" t="inlineStr">
        <is>
          <t>Europe</t>
        </is>
      </c>
      <c r="D71" s="16" t="n">
        <v>25686</v>
      </c>
    </row>
    <row r="72">
      <c r="A72" s="20" t="n">
        <v>45870</v>
      </c>
      <c r="B72" t="inlineStr">
        <is>
          <t>Meridian Trucks</t>
        </is>
      </c>
      <c r="C72" t="inlineStr">
        <is>
          <t>Europe</t>
        </is>
      </c>
      <c r="D72" s="16" t="n">
        <v>25812</v>
      </c>
    </row>
    <row r="73">
      <c r="A73" s="20" t="n">
        <v>45901</v>
      </c>
      <c r="B73" t="inlineStr">
        <is>
          <t xml:space="preserve">Meridian Trucks </t>
        </is>
      </c>
      <c r="C73" t="inlineStr">
        <is>
          <t>Europe</t>
        </is>
      </c>
      <c r="D73" s="16" t="n">
        <v>23941</v>
      </c>
    </row>
    <row r="74">
      <c r="A74" s="20" t="n">
        <v>45931</v>
      </c>
      <c r="B74" t="inlineStr">
        <is>
          <t>Meridian Trucks</t>
        </is>
      </c>
      <c r="C74" t="inlineStr">
        <is>
          <t>Europe</t>
        </is>
      </c>
      <c r="D74" s="16" t="n">
        <v>27214</v>
      </c>
    </row>
    <row r="75">
      <c r="A75" s="20" t="n">
        <v>45962</v>
      </c>
      <c r="B75" t="inlineStr">
        <is>
          <t>Meridian Trucks</t>
        </is>
      </c>
      <c r="C75" t="inlineStr">
        <is>
          <t>Europe</t>
        </is>
      </c>
      <c r="D75" s="16" t="n">
        <v>28978</v>
      </c>
    </row>
    <row r="76">
      <c r="A76" s="20" t="n">
        <v>45992</v>
      </c>
      <c r="B76" t="inlineStr">
        <is>
          <t>Meridian Trucks</t>
        </is>
      </c>
      <c r="C76" t="inlineStr">
        <is>
          <t>Europe</t>
        </is>
      </c>
      <c r="D76" s="16" t="n">
        <v>28869</v>
      </c>
    </row>
    <row r="77">
      <c r="A77" s="20" t="n">
        <v>45658</v>
      </c>
      <c r="B77" t="inlineStr">
        <is>
          <t>Cordillera Motors</t>
        </is>
      </c>
      <c r="C77" t="inlineStr">
        <is>
          <t>Latin America</t>
        </is>
      </c>
      <c r="D77" s="16" t="n">
        <v>48509</v>
      </c>
    </row>
    <row r="78">
      <c r="A78" s="20" t="n">
        <v>45689</v>
      </c>
      <c r="B78" t="inlineStr">
        <is>
          <t>Cordillera Motors</t>
        </is>
      </c>
      <c r="C78" t="inlineStr">
        <is>
          <t>Latin America</t>
        </is>
      </c>
      <c r="D78" s="16" t="n">
        <v>59961</v>
      </c>
    </row>
    <row r="79">
      <c r="A79" s="20" t="n">
        <v>45717</v>
      </c>
      <c r="B79" t="inlineStr">
        <is>
          <t>Cordillera Motors</t>
        </is>
      </c>
      <c r="C79" t="inlineStr">
        <is>
          <t>Latin America</t>
        </is>
      </c>
      <c r="D79" s="16" t="n">
        <v>54663</v>
      </c>
    </row>
    <row r="80">
      <c r="A80" s="20" t="n">
        <v>45748</v>
      </c>
      <c r="B80" t="inlineStr">
        <is>
          <t>Cordillera Motors</t>
        </is>
      </c>
      <c r="C80" t="inlineStr">
        <is>
          <t>Latin America</t>
        </is>
      </c>
      <c r="D80" s="16" t="n">
        <v>53277</v>
      </c>
    </row>
    <row r="81">
      <c r="A81" s="20" t="n">
        <v>45778</v>
      </c>
      <c r="B81" t="inlineStr">
        <is>
          <t>Cordillera Motors</t>
        </is>
      </c>
      <c r="C81" t="inlineStr">
        <is>
          <t>Latin America</t>
        </is>
      </c>
      <c r="D81" s="16" t="n">
        <v>56713</v>
      </c>
    </row>
    <row r="82">
      <c r="A82" s="20" t="n">
        <v>45809</v>
      </c>
      <c r="B82" t="inlineStr">
        <is>
          <t>Cordillera Motors</t>
        </is>
      </c>
      <c r="C82" t="inlineStr">
        <is>
          <t>Latin America</t>
        </is>
      </c>
      <c r="D82" s="16" t="n">
        <v>48039</v>
      </c>
    </row>
    <row r="83">
      <c r="A83" s="20" t="n">
        <v>45839</v>
      </c>
      <c r="B83" t="inlineStr">
        <is>
          <t>Cordillera Motors</t>
        </is>
      </c>
      <c r="C83" t="inlineStr">
        <is>
          <t>Latin America</t>
        </is>
      </c>
      <c r="D83" s="16" t="n">
        <v>48759</v>
      </c>
    </row>
    <row r="84">
      <c r="A84" s="20" t="n">
        <v>45870</v>
      </c>
      <c r="B84" t="inlineStr">
        <is>
          <t>Cordillera Motors</t>
        </is>
      </c>
      <c r="C84" t="inlineStr">
        <is>
          <t>Latin America</t>
        </is>
      </c>
      <c r="D84" s="16" t="n">
        <v>53235</v>
      </c>
    </row>
    <row r="85">
      <c r="A85" s="20" t="n">
        <v>45901</v>
      </c>
      <c r="B85" t="inlineStr">
        <is>
          <t>Cordillera Motors</t>
        </is>
      </c>
      <c r="C85" t="inlineStr">
        <is>
          <t>Latin America</t>
        </is>
      </c>
      <c r="D85" s="16" t="n">
        <v>61046</v>
      </c>
    </row>
    <row r="86">
      <c r="A86" s="20" t="n">
        <v>45931</v>
      </c>
      <c r="B86" t="inlineStr">
        <is>
          <t>Cordillera Motors</t>
        </is>
      </c>
      <c r="C86" t="inlineStr">
        <is>
          <t>Latin America</t>
        </is>
      </c>
      <c r="D86" s="16" t="n">
        <v>0</v>
      </c>
    </row>
    <row r="87">
      <c r="A87" s="20" t="n">
        <v>45962</v>
      </c>
      <c r="B87" t="inlineStr">
        <is>
          <t>Cordillera Motors</t>
        </is>
      </c>
      <c r="C87" t="inlineStr">
        <is>
          <t>Latin America</t>
        </is>
      </c>
      <c r="D87" s="16" t="n">
        <v>56671</v>
      </c>
    </row>
    <row r="88">
      <c r="A88" s="20" t="n">
        <v>45992</v>
      </c>
      <c r="B88" t="inlineStr">
        <is>
          <t xml:space="preserve">Cordillera Motors </t>
        </is>
      </c>
      <c r="C88" t="inlineStr">
        <is>
          <t>Latin America</t>
        </is>
      </c>
      <c r="D88" s="16" t="n">
        <v>57998</v>
      </c>
    </row>
    <row r="89">
      <c r="A89" s="20" t="n">
        <v>45658</v>
      </c>
      <c r="B89" t="inlineStr">
        <is>
          <t xml:space="preserve">Nordlys Vehicles </t>
        </is>
      </c>
      <c r="C89" t="inlineStr">
        <is>
          <t>Europe</t>
        </is>
      </c>
      <c r="D89" s="16" t="n">
        <v>59187</v>
      </c>
    </row>
    <row r="90">
      <c r="A90" s="20" t="n">
        <v>45689</v>
      </c>
      <c r="B90" t="inlineStr">
        <is>
          <t>nordlys vehicles</t>
        </is>
      </c>
      <c r="C90" t="inlineStr">
        <is>
          <t>Europe</t>
        </is>
      </c>
      <c r="D90" s="16" t="n">
        <v>0</v>
      </c>
    </row>
    <row r="91">
      <c r="A91" s="20" t="n">
        <v>45717</v>
      </c>
      <c r="B91" t="inlineStr">
        <is>
          <t>Nordlys Vehicles</t>
        </is>
      </c>
      <c r="C91" t="inlineStr">
        <is>
          <t>Europe</t>
        </is>
      </c>
      <c r="D91" s="16" t="n">
        <v>62325</v>
      </c>
    </row>
    <row r="92">
      <c r="A92" s="20" t="n">
        <v>45748</v>
      </c>
      <c r="B92" t="inlineStr">
        <is>
          <t>Nordlys Vehicles</t>
        </is>
      </c>
      <c r="C92" t="inlineStr">
        <is>
          <t>Europe</t>
        </is>
      </c>
      <c r="D92" s="16" t="n">
        <v>62791</v>
      </c>
    </row>
    <row r="93">
      <c r="A93" s="20" t="n">
        <v>45778</v>
      </c>
      <c r="B93" t="inlineStr">
        <is>
          <t xml:space="preserve"> NORDLYS VEHICLES</t>
        </is>
      </c>
      <c r="C93" t="inlineStr">
        <is>
          <t>Europe</t>
        </is>
      </c>
      <c r="D93" s="16" t="n">
        <v>63321</v>
      </c>
    </row>
    <row r="94">
      <c r="A94" s="20" t="n">
        <v>45809</v>
      </c>
      <c r="B94" t="inlineStr">
        <is>
          <t xml:space="preserve">Nordlys Vehicles </t>
        </is>
      </c>
      <c r="C94" t="inlineStr">
        <is>
          <t>Europe</t>
        </is>
      </c>
      <c r="D94" s="16" t="n">
        <v>54216</v>
      </c>
    </row>
    <row r="95">
      <c r="A95" s="20" t="n">
        <v>45839</v>
      </c>
      <c r="B95" t="inlineStr">
        <is>
          <t xml:space="preserve"> NORDLYS VEHICLES</t>
        </is>
      </c>
      <c r="C95" t="inlineStr">
        <is>
          <t>Europe</t>
        </is>
      </c>
      <c r="D95" s="16" t="n">
        <v>63855</v>
      </c>
    </row>
    <row r="96">
      <c r="A96" s="20" t="n">
        <v>45870</v>
      </c>
      <c r="B96" t="inlineStr">
        <is>
          <t>Nordlys Vehicles</t>
        </is>
      </c>
      <c r="C96" t="inlineStr">
        <is>
          <t>Europe</t>
        </is>
      </c>
      <c r="D96" s="16" t="n">
        <v>57223</v>
      </c>
    </row>
    <row r="97">
      <c r="A97" s="20" t="n">
        <v>45901</v>
      </c>
      <c r="B97" t="inlineStr">
        <is>
          <t>Nordlys Vehicles</t>
        </is>
      </c>
      <c r="C97" t="inlineStr">
        <is>
          <t>Europe</t>
        </is>
      </c>
      <c r="D97" s="16" t="n">
        <v>62060</v>
      </c>
    </row>
    <row r="98">
      <c r="A98" s="20" t="n">
        <v>45931</v>
      </c>
      <c r="B98" t="inlineStr">
        <is>
          <t>Nordlys Vehicles</t>
        </is>
      </c>
      <c r="C98" t="inlineStr">
        <is>
          <t>Europe</t>
        </is>
      </c>
      <c r="D98" s="16" t="n">
        <v>65255</v>
      </c>
    </row>
    <row r="99">
      <c r="A99" s="20" t="n">
        <v>45962</v>
      </c>
      <c r="B99" t="inlineStr">
        <is>
          <t>Nordlys Vehicles</t>
        </is>
      </c>
      <c r="C99" t="inlineStr">
        <is>
          <t>Europe</t>
        </is>
      </c>
      <c r="D99" s="16" t="n">
        <v>67787</v>
      </c>
    </row>
    <row r="100">
      <c r="A100" s="20" t="n">
        <v>45992</v>
      </c>
      <c r="B100" t="inlineStr">
        <is>
          <t>Nordlys Vehicles</t>
        </is>
      </c>
      <c r="C100" t="inlineStr">
        <is>
          <t>Europe</t>
        </is>
      </c>
      <c r="D100" s="16" t="n">
        <v>59164</v>
      </c>
    </row>
    <row r="101">
      <c r="A101" s="20" t="n">
        <v>45658</v>
      </c>
      <c r="B101" t="inlineStr">
        <is>
          <t>Tidewater Trucks</t>
        </is>
      </c>
      <c r="C101" t="inlineStr">
        <is>
          <t>North America</t>
        </is>
      </c>
      <c r="D101" s="16" t="n">
        <v>20866</v>
      </c>
    </row>
    <row r="102">
      <c r="A102" s="20" t="n">
        <v>45689</v>
      </c>
      <c r="B102" t="inlineStr">
        <is>
          <t>Tidewater Trucks</t>
        </is>
      </c>
      <c r="C102" t="inlineStr">
        <is>
          <t>North America</t>
        </is>
      </c>
      <c r="D102" s="16" t="n">
        <v>23596</v>
      </c>
    </row>
    <row r="103">
      <c r="A103" s="20" t="n">
        <v>45717</v>
      </c>
      <c r="B103" t="inlineStr">
        <is>
          <t>Tidewater Trucks</t>
        </is>
      </c>
      <c r="C103" t="inlineStr">
        <is>
          <t>North America</t>
        </is>
      </c>
      <c r="D103" s="16" t="n">
        <v>22650</v>
      </c>
    </row>
    <row r="104">
      <c r="A104" s="20" t="n">
        <v>45748</v>
      </c>
      <c r="B104" t="inlineStr">
        <is>
          <t>Tidewater Trucks</t>
        </is>
      </c>
      <c r="C104" t="inlineStr">
        <is>
          <t>North America</t>
        </is>
      </c>
      <c r="D104" s="16" t="n">
        <v>23736</v>
      </c>
    </row>
    <row r="105">
      <c r="A105" s="20" t="n">
        <v>45778</v>
      </c>
      <c r="B105" t="inlineStr">
        <is>
          <t>Tidewater Trucks</t>
        </is>
      </c>
      <c r="C105" t="inlineStr">
        <is>
          <t>North America</t>
        </is>
      </c>
      <c r="D105" s="16" t="n">
        <v>19803</v>
      </c>
    </row>
    <row r="106">
      <c r="A106" s="20" t="n">
        <v>45809</v>
      </c>
      <c r="B106" t="inlineStr">
        <is>
          <t>Tidewater Trucks</t>
        </is>
      </c>
      <c r="C106" t="inlineStr">
        <is>
          <t>North America</t>
        </is>
      </c>
      <c r="D106" s="16" t="n">
        <v>24769</v>
      </c>
    </row>
    <row r="107">
      <c r="A107" s="20" t="n">
        <v>45839</v>
      </c>
      <c r="B107" t="inlineStr">
        <is>
          <t>Tidewater Trucks</t>
        </is>
      </c>
      <c r="C107" t="inlineStr">
        <is>
          <t>North America</t>
        </is>
      </c>
      <c r="D107" s="16" t="n">
        <v>20499</v>
      </c>
    </row>
    <row r="108">
      <c r="A108" s="20" t="n">
        <v>45870</v>
      </c>
      <c r="B108" t="inlineStr">
        <is>
          <t xml:space="preserve">Tidewater Trucks </t>
        </is>
      </c>
      <c r="C108" t="inlineStr">
        <is>
          <t>North America</t>
        </is>
      </c>
      <c r="D108" s="16" t="n">
        <v>20682</v>
      </c>
    </row>
    <row r="109">
      <c r="A109" s="20" t="n">
        <v>45901</v>
      </c>
      <c r="B109" t="inlineStr">
        <is>
          <t>Tidewater Trucks</t>
        </is>
      </c>
      <c r="C109" t="inlineStr">
        <is>
          <t>North America</t>
        </is>
      </c>
      <c r="D109" s="16" t="n">
        <v>21994</v>
      </c>
    </row>
    <row r="110">
      <c r="A110" s="20" t="n">
        <v>45931</v>
      </c>
      <c r="B110" t="inlineStr">
        <is>
          <t>Tidewater Trucks</t>
        </is>
      </c>
      <c r="C110" t="inlineStr">
        <is>
          <t>North America</t>
        </is>
      </c>
      <c r="D110" s="16" t="n">
        <v>18601</v>
      </c>
    </row>
    <row r="111">
      <c r="A111" s="20" t="n">
        <v>45962</v>
      </c>
      <c r="B111" t="inlineStr">
        <is>
          <t xml:space="preserve"> TIDEWATER TRUCKS</t>
        </is>
      </c>
      <c r="C111" t="inlineStr">
        <is>
          <t>North America</t>
        </is>
      </c>
      <c r="D111" s="16" t="n">
        <v>23616</v>
      </c>
    </row>
    <row r="112">
      <c r="A112" s="20" t="n">
        <v>45992</v>
      </c>
      <c r="B112" t="inlineStr">
        <is>
          <t>tidewater trucks</t>
        </is>
      </c>
      <c r="C112" t="inlineStr">
        <is>
          <t>North America</t>
        </is>
      </c>
      <c r="D112" s="16" t="n">
        <v>23538</v>
      </c>
    </row>
    <row r="113">
      <c r="A113" s="20" t="n">
        <v>45658</v>
      </c>
      <c r="B113" t="inlineStr">
        <is>
          <t>Zenith Two-Wheelers</t>
        </is>
      </c>
      <c r="C113" t="inlineStr">
        <is>
          <t>Southeast Asia</t>
        </is>
      </c>
      <c r="D113" s="16" t="n">
        <v>92121</v>
      </c>
    </row>
    <row r="114">
      <c r="A114" s="20" t="n">
        <v>45689</v>
      </c>
      <c r="B114" t="inlineStr">
        <is>
          <t>Zenith Two-Wheelers</t>
        </is>
      </c>
      <c r="C114" t="inlineStr">
        <is>
          <t>Southeast Asia</t>
        </is>
      </c>
      <c r="D114" s="16" t="n">
        <v>96874</v>
      </c>
    </row>
    <row r="115">
      <c r="A115" s="20" t="n">
        <v>45717</v>
      </c>
      <c r="B115" t="inlineStr">
        <is>
          <t xml:space="preserve">Zenith Two-Wheelers </t>
        </is>
      </c>
      <c r="C115" t="inlineStr">
        <is>
          <t>Southeast Asia</t>
        </is>
      </c>
      <c r="D115" s="16" t="n">
        <v>104018</v>
      </c>
    </row>
    <row r="116">
      <c r="A116" s="20" t="n">
        <v>45748</v>
      </c>
      <c r="B116" t="inlineStr">
        <is>
          <t>Zenith Two-Wheelers</t>
        </is>
      </c>
      <c r="C116" t="inlineStr">
        <is>
          <t>Southeast Asia</t>
        </is>
      </c>
      <c r="D116" s="16" t="n">
        <v>92400</v>
      </c>
    </row>
    <row r="117">
      <c r="A117" s="20" t="n">
        <v>45778</v>
      </c>
      <c r="B117" t="inlineStr">
        <is>
          <t>Zenith Two-Wheelers</t>
        </is>
      </c>
      <c r="C117" t="inlineStr">
        <is>
          <t>Southeast Asia</t>
        </is>
      </c>
      <c r="D117" s="16" t="n">
        <v>95486</v>
      </c>
    </row>
    <row r="118">
      <c r="A118" s="20" t="n">
        <v>45809</v>
      </c>
      <c r="B118" t="inlineStr">
        <is>
          <t>Zenith Two-Wheelers</t>
        </is>
      </c>
      <c r="C118" t="inlineStr">
        <is>
          <t>Southeast Asia</t>
        </is>
      </c>
      <c r="D118" s="16" t="n">
        <v>93316</v>
      </c>
    </row>
    <row r="119">
      <c r="A119" s="20" t="n">
        <v>45839</v>
      </c>
      <c r="B119" t="inlineStr">
        <is>
          <t>Zenith Two-Wheelers</t>
        </is>
      </c>
      <c r="C119" t="inlineStr">
        <is>
          <t>Southeast Asia</t>
        </is>
      </c>
      <c r="D119" s="16" t="n">
        <v>101161</v>
      </c>
    </row>
    <row r="120">
      <c r="A120" s="20" t="n">
        <v>45870</v>
      </c>
      <c r="B120" t="inlineStr">
        <is>
          <t>Zenith Two-Wheelers</t>
        </is>
      </c>
      <c r="C120" t="inlineStr">
        <is>
          <t>Southeast Asia</t>
        </is>
      </c>
      <c r="D120" s="16" t="n">
        <v>101313</v>
      </c>
    </row>
    <row r="121">
      <c r="A121" s="20" t="n">
        <v>45901</v>
      </c>
      <c r="B121" t="inlineStr">
        <is>
          <t>Zenith Two-Wheelers</t>
        </is>
      </c>
      <c r="C121" t="inlineStr">
        <is>
          <t>Southeast Asia</t>
        </is>
      </c>
      <c r="D121" s="16" t="n">
        <v>93674</v>
      </c>
    </row>
    <row r="122">
      <c r="A122" s="20" t="n">
        <v>45931</v>
      </c>
      <c r="B122" t="inlineStr">
        <is>
          <t>Zenith Two-Wheelers</t>
        </is>
      </c>
      <c r="C122" t="inlineStr">
        <is>
          <t>Southeast Asia</t>
        </is>
      </c>
    </row>
    <row r="123">
      <c r="A123" s="20" t="n">
        <v>45962</v>
      </c>
      <c r="B123" t="inlineStr">
        <is>
          <t>Zenith Two-Wheelers</t>
        </is>
      </c>
      <c r="C123" t="inlineStr">
        <is>
          <t>Southeast Asia</t>
        </is>
      </c>
      <c r="D123" s="16" t="n">
        <v>104575</v>
      </c>
    </row>
    <row r="124">
      <c r="A124" s="20" t="n">
        <v>45992</v>
      </c>
      <c r="B124" t="inlineStr">
        <is>
          <t>Zenith Two-Wheelers</t>
        </is>
      </c>
      <c r="C124" t="inlineStr">
        <is>
          <t>Southeast Asia</t>
        </is>
      </c>
      <c r="D124" s="16" t="n">
        <v>99946</v>
      </c>
    </row>
    <row r="125">
      <c r="A125" s="20" t="n">
        <v>45658</v>
      </c>
      <c r="B125" t="inlineStr">
        <is>
          <t xml:space="preserve">Lotus Blossom Auto </t>
        </is>
      </c>
      <c r="C125" t="inlineStr">
        <is>
          <t>China</t>
        </is>
      </c>
      <c r="D125" s="16" t="n">
        <v>154189</v>
      </c>
    </row>
    <row r="126">
      <c r="A126" s="20" t="n">
        <v>45689</v>
      </c>
      <c r="B126" t="inlineStr">
        <is>
          <t>Lotus Blossom Auto</t>
        </is>
      </c>
      <c r="C126" t="inlineStr">
        <is>
          <t>China</t>
        </is>
      </c>
      <c r="D126" s="16" t="n">
        <v>142061</v>
      </c>
    </row>
    <row r="127">
      <c r="A127" s="20" t="n">
        <v>45717</v>
      </c>
      <c r="B127" t="inlineStr">
        <is>
          <t>Lotus Blossom Auto</t>
        </is>
      </c>
      <c r="C127" t="inlineStr">
        <is>
          <t>China</t>
        </is>
      </c>
      <c r="D127" s="16" t="n">
        <v>135736</v>
      </c>
    </row>
    <row r="128">
      <c r="A128" s="20" t="n">
        <v>45748</v>
      </c>
      <c r="B128" t="inlineStr">
        <is>
          <t>Lotus Blossom Auto</t>
        </is>
      </c>
      <c r="C128" t="inlineStr">
        <is>
          <t>China</t>
        </is>
      </c>
      <c r="D128" s="16" t="n">
        <v>142932</v>
      </c>
    </row>
    <row r="129">
      <c r="A129" s="20" t="n">
        <v>45778</v>
      </c>
      <c r="B129" t="inlineStr">
        <is>
          <t>Lotus Blossom Auto</t>
        </is>
      </c>
      <c r="C129" t="inlineStr">
        <is>
          <t>China</t>
        </is>
      </c>
      <c r="D129" s="16" t="n">
        <v>144807</v>
      </c>
    </row>
    <row r="130">
      <c r="A130" s="20" t="n">
        <v>45809</v>
      </c>
      <c r="B130" t="inlineStr">
        <is>
          <t>Lotus Blossom Auto</t>
        </is>
      </c>
      <c r="C130" t="inlineStr">
        <is>
          <t>China</t>
        </is>
      </c>
      <c r="D130" s="16" t="n">
        <v>150991</v>
      </c>
    </row>
    <row r="131">
      <c r="A131" s="20" t="n">
        <v>45839</v>
      </c>
      <c r="B131" t="inlineStr">
        <is>
          <t xml:space="preserve">Lotus Blossom Auto </t>
        </is>
      </c>
      <c r="C131" t="inlineStr">
        <is>
          <t>China</t>
        </is>
      </c>
      <c r="D131" s="16" t="n">
        <v>158052</v>
      </c>
    </row>
    <row r="132">
      <c r="A132" s="20" t="n">
        <v>45870</v>
      </c>
      <c r="B132" t="inlineStr">
        <is>
          <t>Lotus Blossom Auto</t>
        </is>
      </c>
      <c r="C132" t="inlineStr">
        <is>
          <t>China</t>
        </is>
      </c>
      <c r="D132" s="16" t="n">
        <v>133901</v>
      </c>
    </row>
    <row r="133">
      <c r="A133" s="20" t="n">
        <v>45901</v>
      </c>
      <c r="B133" t="inlineStr">
        <is>
          <t>Lotus Blossom Auto</t>
        </is>
      </c>
      <c r="C133" t="inlineStr">
        <is>
          <t>China</t>
        </is>
      </c>
      <c r="D133" s="16" t="n">
        <v>139505</v>
      </c>
    </row>
    <row r="134">
      <c r="A134" s="20" t="n">
        <v>45931</v>
      </c>
      <c r="B134" t="inlineStr">
        <is>
          <t>lotus blossom auto</t>
        </is>
      </c>
      <c r="C134" t="inlineStr">
        <is>
          <t>China</t>
        </is>
      </c>
      <c r="D134" s="16" t="n">
        <v>155935</v>
      </c>
    </row>
    <row r="135">
      <c r="A135" s="20" t="n">
        <v>45962</v>
      </c>
      <c r="B135" t="inlineStr">
        <is>
          <t xml:space="preserve"> LOTUS BLOSSOM AUTO</t>
        </is>
      </c>
      <c r="C135" t="inlineStr">
        <is>
          <t>China</t>
        </is>
      </c>
      <c r="D135" s="16" t="n">
        <v>134920</v>
      </c>
    </row>
    <row r="136">
      <c r="A136" s="20" t="n">
        <v>45992</v>
      </c>
      <c r="B136" t="inlineStr">
        <is>
          <t>Lotus Blossom Auto</t>
        </is>
      </c>
      <c r="C136" t="inlineStr">
        <is>
          <t>China</t>
        </is>
      </c>
      <c r="D136" s="16" t="n">
        <v>143067</v>
      </c>
    </row>
    <row r="137">
      <c r="A137" s="20" t="n">
        <v>45658</v>
      </c>
      <c r="B137" t="inlineStr">
        <is>
          <t>sahara motors</t>
        </is>
      </c>
      <c r="C137" t="inlineStr">
        <is>
          <t>Middle East &amp; Africa</t>
        </is>
      </c>
      <c r="D137" s="16" t="n">
        <v>35308</v>
      </c>
    </row>
    <row r="138">
      <c r="A138" s="20" t="n">
        <v>45689</v>
      </c>
      <c r="B138" t="inlineStr">
        <is>
          <t>Sahara Motors</t>
        </is>
      </c>
      <c r="C138" t="inlineStr">
        <is>
          <t>Middle East &amp; Africa</t>
        </is>
      </c>
      <c r="D138" s="16" t="n">
        <v>36379</v>
      </c>
    </row>
    <row r="139">
      <c r="A139" s="20" t="n">
        <v>45717</v>
      </c>
      <c r="B139" t="inlineStr">
        <is>
          <t>Sahara Motors</t>
        </is>
      </c>
      <c r="C139" t="inlineStr">
        <is>
          <t>Middle East &amp; Africa</t>
        </is>
      </c>
      <c r="D139" s="16" t="n">
        <v>38688</v>
      </c>
    </row>
    <row r="140">
      <c r="A140" s="20" t="n">
        <v>45748</v>
      </c>
      <c r="B140" t="inlineStr">
        <is>
          <t>Sahara Motors</t>
        </is>
      </c>
      <c r="C140" t="inlineStr">
        <is>
          <t>Middle East &amp; Africa</t>
        </is>
      </c>
      <c r="D140" s="16" t="n">
        <v>32193</v>
      </c>
    </row>
    <row r="141">
      <c r="A141" s="20" t="n">
        <v>45778</v>
      </c>
      <c r="B141" t="inlineStr">
        <is>
          <t>Sahara Motors</t>
        </is>
      </c>
      <c r="C141" t="inlineStr">
        <is>
          <t>Middle East &amp; Africa</t>
        </is>
      </c>
      <c r="D141" s="16" t="n">
        <v>39228</v>
      </c>
    </row>
    <row r="142">
      <c r="A142" s="20" t="n">
        <v>45809</v>
      </c>
      <c r="B142" t="inlineStr">
        <is>
          <t>Sahara Motors</t>
        </is>
      </c>
      <c r="C142" t="inlineStr">
        <is>
          <t>Middle East &amp; Africa</t>
        </is>
      </c>
      <c r="D142" s="16" t="n">
        <v>39439</v>
      </c>
    </row>
    <row r="143">
      <c r="A143" s="20" t="n">
        <v>45839</v>
      </c>
      <c r="B143" t="inlineStr">
        <is>
          <t>sahara motors</t>
        </is>
      </c>
      <c r="C143" t="inlineStr">
        <is>
          <t>Middle East &amp; Africa</t>
        </is>
      </c>
      <c r="D143" s="16" t="n">
        <v>39069</v>
      </c>
    </row>
    <row r="144">
      <c r="A144" s="20" t="n">
        <v>45870</v>
      </c>
      <c r="B144" t="inlineStr">
        <is>
          <t>Sahara Motors</t>
        </is>
      </c>
      <c r="C144" t="inlineStr">
        <is>
          <t>Middle East &amp; Africa</t>
        </is>
      </c>
      <c r="D144" s="16" t="n">
        <v>37379</v>
      </c>
    </row>
    <row r="145">
      <c r="A145" s="20" t="n">
        <v>45901</v>
      </c>
      <c r="B145" t="inlineStr">
        <is>
          <t>Sahara Motors</t>
        </is>
      </c>
      <c r="C145" t="inlineStr">
        <is>
          <t>Middle East &amp; Africa</t>
        </is>
      </c>
      <c r="D145" s="16" t="n">
        <v>38488</v>
      </c>
    </row>
    <row r="146">
      <c r="A146" s="20" t="n">
        <v>45931</v>
      </c>
      <c r="B146" t="inlineStr">
        <is>
          <t>Sahara Motors</t>
        </is>
      </c>
      <c r="C146" t="inlineStr">
        <is>
          <t>Middle East &amp; Africa</t>
        </is>
      </c>
      <c r="D146" s="16" t="n">
        <v>31073</v>
      </c>
    </row>
    <row r="147">
      <c r="A147" s="20" t="n">
        <v>45962</v>
      </c>
      <c r="B147" t="inlineStr">
        <is>
          <t>Sahara Motors</t>
        </is>
      </c>
      <c r="C147" t="inlineStr">
        <is>
          <t>Middle East &amp; Africa</t>
        </is>
      </c>
      <c r="D147" s="16" t="n">
        <v>29936</v>
      </c>
    </row>
    <row r="148">
      <c r="A148" s="20" t="n">
        <v>45992</v>
      </c>
      <c r="B148" t="inlineStr">
        <is>
          <t>Sahara Motors</t>
        </is>
      </c>
      <c r="C148" t="inlineStr">
        <is>
          <t>Middle East &amp; Africa</t>
        </is>
      </c>
      <c r="D148" s="16" t="n">
        <v>39319</v>
      </c>
    </row>
    <row r="149">
      <c r="A149" s="20" t="n">
        <v>45658</v>
      </c>
      <c r="B149" t="inlineStr">
        <is>
          <t>Pinnacle Commercial</t>
        </is>
      </c>
      <c r="C149" t="inlineStr">
        <is>
          <t>India</t>
        </is>
      </c>
      <c r="D149" s="16" t="n">
        <v>15860</v>
      </c>
    </row>
    <row r="150">
      <c r="A150" s="20" t="n">
        <v>45689</v>
      </c>
      <c r="B150" t="inlineStr">
        <is>
          <t xml:space="preserve"> PINNACLE COMMERCIAL</t>
        </is>
      </c>
      <c r="C150" t="inlineStr">
        <is>
          <t>India</t>
        </is>
      </c>
      <c r="D150" s="16" t="n">
        <v>16715</v>
      </c>
    </row>
    <row r="151">
      <c r="A151" s="20" t="n">
        <v>45717</v>
      </c>
      <c r="B151" t="inlineStr">
        <is>
          <t xml:space="preserve">Pinnacle Commercial </t>
        </is>
      </c>
      <c r="C151" t="inlineStr">
        <is>
          <t>India</t>
        </is>
      </c>
      <c r="D151" s="16" t="n">
        <v>13963</v>
      </c>
    </row>
    <row r="152">
      <c r="A152" s="20" t="n">
        <v>45748</v>
      </c>
      <c r="B152" t="inlineStr">
        <is>
          <t>Pinnacle Commercial</t>
        </is>
      </c>
      <c r="C152" t="inlineStr">
        <is>
          <t>India</t>
        </is>
      </c>
      <c r="D152" s="16" t="n">
        <v>15904</v>
      </c>
    </row>
    <row r="153">
      <c r="A153" s="20" t="n">
        <v>45778</v>
      </c>
      <c r="B153" t="inlineStr">
        <is>
          <t>Pinnacle Commercial</t>
        </is>
      </c>
      <c r="C153" t="inlineStr">
        <is>
          <t>India</t>
        </is>
      </c>
      <c r="D153" s="16" t="n">
        <v>14335</v>
      </c>
    </row>
    <row r="154">
      <c r="A154" s="20" t="n">
        <v>45809</v>
      </c>
      <c r="B154" t="inlineStr">
        <is>
          <t>Pinnacle Commercial</t>
        </is>
      </c>
      <c r="C154" t="inlineStr">
        <is>
          <t>India</t>
        </is>
      </c>
      <c r="D154" s="16" t="n">
        <v>18162</v>
      </c>
    </row>
    <row r="155">
      <c r="A155" s="20" t="n">
        <v>45839</v>
      </c>
      <c r="B155" t="inlineStr">
        <is>
          <t>Pinnacle Commercial</t>
        </is>
      </c>
      <c r="C155" t="inlineStr">
        <is>
          <t>India</t>
        </is>
      </c>
      <c r="D155" s="16" t="n">
        <v>13753</v>
      </c>
    </row>
    <row r="156">
      <c r="A156" s="20" t="n">
        <v>45870</v>
      </c>
      <c r="B156" t="inlineStr">
        <is>
          <t>Pinnacle Commercial</t>
        </is>
      </c>
      <c r="C156" t="inlineStr">
        <is>
          <t>India</t>
        </is>
      </c>
      <c r="D156" s="16" t="n">
        <v>17091</v>
      </c>
    </row>
    <row r="157">
      <c r="A157" s="20" t="n">
        <v>45901</v>
      </c>
      <c r="B157" t="inlineStr">
        <is>
          <t>Pinnacle Commercial</t>
        </is>
      </c>
      <c r="C157" t="inlineStr">
        <is>
          <t>India</t>
        </is>
      </c>
      <c r="D157" s="16" t="n">
        <v>15906</v>
      </c>
    </row>
    <row r="158">
      <c r="A158" s="20" t="n">
        <v>45931</v>
      </c>
      <c r="B158" t="inlineStr">
        <is>
          <t>Pinnacle Commercial</t>
        </is>
      </c>
      <c r="C158" t="inlineStr">
        <is>
          <t>India</t>
        </is>
      </c>
      <c r="D158" s="16" t="n">
        <v>13521</v>
      </c>
    </row>
    <row r="159">
      <c r="A159" s="20" t="n">
        <v>45962</v>
      </c>
      <c r="B159" t="inlineStr">
        <is>
          <t>Pinnacle Commercial</t>
        </is>
      </c>
      <c r="C159" t="inlineStr">
        <is>
          <t>India</t>
        </is>
      </c>
      <c r="D159" s="16" t="n">
        <v>14319</v>
      </c>
    </row>
    <row r="160">
      <c r="A160" s="20" t="n">
        <v>45992</v>
      </c>
      <c r="B160" t="inlineStr">
        <is>
          <t xml:space="preserve"> PINNACLE COMMERCIAL</t>
        </is>
      </c>
      <c r="C160" t="inlineStr">
        <is>
          <t>India</t>
        </is>
      </c>
      <c r="D160" s="16" t="n">
        <v>15384</v>
      </c>
    </row>
    <row r="161">
      <c r="A161" s="20" t="n">
        <v>45658</v>
      </c>
      <c r="B161" t="inlineStr">
        <is>
          <t xml:space="preserve">Atlas Utility Vehicles </t>
        </is>
      </c>
      <c r="C161" t="inlineStr">
        <is>
          <t>North America</t>
        </is>
      </c>
      <c r="D161" s="16" t="n">
        <v>28440</v>
      </c>
    </row>
    <row r="162">
      <c r="A162" s="20" t="n">
        <v>45689</v>
      </c>
      <c r="B162" t="inlineStr">
        <is>
          <t>Atlas Utility Vehicles</t>
        </is>
      </c>
      <c r="C162" t="inlineStr">
        <is>
          <t>North America</t>
        </is>
      </c>
      <c r="D162" s="16" t="n">
        <v>30898</v>
      </c>
    </row>
    <row r="163">
      <c r="A163" s="20" t="n">
        <v>45717</v>
      </c>
      <c r="B163" t="inlineStr">
        <is>
          <t>Atlas Utility Vehicles</t>
        </is>
      </c>
      <c r="C163" t="inlineStr">
        <is>
          <t>North America</t>
        </is>
      </c>
      <c r="D163" s="16" t="n">
        <v>29433</v>
      </c>
    </row>
    <row r="164">
      <c r="A164" s="20" t="n">
        <v>45748</v>
      </c>
      <c r="B164" t="inlineStr">
        <is>
          <t>Atlas Utility Vehicles</t>
        </is>
      </c>
      <c r="C164" t="inlineStr">
        <is>
          <t>North America</t>
        </is>
      </c>
      <c r="D164" s="16" t="n">
        <v>28370</v>
      </c>
    </row>
    <row r="165">
      <c r="A165" s="20" t="n">
        <v>45778</v>
      </c>
      <c r="B165" t="inlineStr">
        <is>
          <t>Atlas Utility Vehicles</t>
        </is>
      </c>
      <c r="C165" t="inlineStr">
        <is>
          <t>North America</t>
        </is>
      </c>
      <c r="D165" s="16" t="n">
        <v>26279</v>
      </c>
    </row>
    <row r="166">
      <c r="A166" s="20" t="n">
        <v>45809</v>
      </c>
      <c r="B166" t="inlineStr">
        <is>
          <t>Atlas Utility Vehicles</t>
        </is>
      </c>
      <c r="C166" t="inlineStr">
        <is>
          <t>North America</t>
        </is>
      </c>
      <c r="D166" s="16" t="n">
        <v>30696</v>
      </c>
    </row>
    <row r="167">
      <c r="A167" s="20" t="n">
        <v>45839</v>
      </c>
      <c r="B167" t="inlineStr">
        <is>
          <t>Atlas Utility Vehicles</t>
        </is>
      </c>
      <c r="C167" t="inlineStr">
        <is>
          <t>North America</t>
        </is>
      </c>
      <c r="D167" s="16" t="n">
        <v>31704</v>
      </c>
    </row>
    <row r="168">
      <c r="A168" s="20" t="n">
        <v>45870</v>
      </c>
      <c r="B168" t="inlineStr">
        <is>
          <t>Atlas Utility Vehicles</t>
        </is>
      </c>
      <c r="C168" t="inlineStr">
        <is>
          <t>North America</t>
        </is>
      </c>
      <c r="D168" s="16" t="n">
        <v>30605</v>
      </c>
    </row>
    <row r="169">
      <c r="A169" s="20" t="n">
        <v>45901</v>
      </c>
      <c r="B169" t="inlineStr">
        <is>
          <t xml:space="preserve">Atlas Utility Vehicles </t>
        </is>
      </c>
      <c r="C169" t="inlineStr">
        <is>
          <t>North America</t>
        </is>
      </c>
      <c r="D169" s="16" t="n">
        <v>30226</v>
      </c>
    </row>
    <row r="170">
      <c r="A170" s="20" t="n">
        <v>45931</v>
      </c>
      <c r="B170" t="inlineStr">
        <is>
          <t xml:space="preserve">Atlas Utility Vehicles </t>
        </is>
      </c>
      <c r="C170" t="inlineStr">
        <is>
          <t>North America</t>
        </is>
      </c>
      <c r="D170" s="16" t="n">
        <v>28068</v>
      </c>
    </row>
    <row r="171">
      <c r="A171" s="20" t="n">
        <v>45962</v>
      </c>
      <c r="B171" t="inlineStr">
        <is>
          <t>Atlas Utility Vehicles</t>
        </is>
      </c>
      <c r="C171" t="inlineStr">
        <is>
          <t>North America</t>
        </is>
      </c>
      <c r="D171" s="16" t="n">
        <v>29512</v>
      </c>
    </row>
    <row r="172">
      <c r="A172" s="20" t="n">
        <v>45992</v>
      </c>
      <c r="B172" t="inlineStr">
        <is>
          <t>Atlas Utility Vehicles</t>
        </is>
      </c>
      <c r="C172" t="inlineStr">
        <is>
          <t>North America</t>
        </is>
      </c>
      <c r="D172" s="16" t="n">
        <v>32113</v>
      </c>
    </row>
    <row r="173">
      <c r="A173" s="20" t="n">
        <v>45658</v>
      </c>
      <c r="B173" t="inlineStr">
        <is>
          <t>Harbor City Motors</t>
        </is>
      </c>
      <c r="C173" t="inlineStr">
        <is>
          <t>Southeast Asia</t>
        </is>
      </c>
      <c r="D173" s="16" t="n">
        <v>66369</v>
      </c>
    </row>
    <row r="174">
      <c r="A174" s="20" t="n">
        <v>45689</v>
      </c>
      <c r="B174" t="inlineStr">
        <is>
          <t>Harbor City Motors</t>
        </is>
      </c>
      <c r="C174" t="inlineStr">
        <is>
          <t>Southeast Asia</t>
        </is>
      </c>
      <c r="D174" s="16" t="n">
        <v>61236</v>
      </c>
    </row>
    <row r="175">
      <c r="A175" s="20" t="n">
        <v>45717</v>
      </c>
      <c r="B175" t="inlineStr">
        <is>
          <t>Harbor City Motors</t>
        </is>
      </c>
      <c r="C175" t="inlineStr">
        <is>
          <t>Southeast Asia</t>
        </is>
      </c>
      <c r="D175" s="16" t="n">
        <v>67157</v>
      </c>
    </row>
    <row r="176">
      <c r="A176" s="20" t="n">
        <v>45748</v>
      </c>
      <c r="B176" t="inlineStr">
        <is>
          <t>Harbor City Motors</t>
        </is>
      </c>
      <c r="C176" t="inlineStr">
        <is>
          <t>Southeast Asia</t>
        </is>
      </c>
      <c r="D176" s="16" t="n">
        <v>54267</v>
      </c>
    </row>
    <row r="177">
      <c r="A177" s="20" t="n">
        <v>45778</v>
      </c>
      <c r="B177" t="inlineStr">
        <is>
          <t>Harbor City Motors</t>
        </is>
      </c>
      <c r="C177" t="inlineStr">
        <is>
          <t>Southeast Asia</t>
        </is>
      </c>
      <c r="D177" s="16" t="n">
        <v>0</v>
      </c>
    </row>
    <row r="178">
      <c r="A178" s="20" t="n">
        <v>45809</v>
      </c>
      <c r="B178" t="inlineStr">
        <is>
          <t>Harbor City Motors</t>
        </is>
      </c>
      <c r="C178" t="inlineStr">
        <is>
          <t>Southeast Asia</t>
        </is>
      </c>
      <c r="D178" s="16" t="n">
        <v>57547</v>
      </c>
    </row>
    <row r="179">
      <c r="A179" s="20" t="n">
        <v>45839</v>
      </c>
      <c r="B179" t="inlineStr">
        <is>
          <t>Harbor City Motors</t>
        </is>
      </c>
      <c r="C179" t="inlineStr">
        <is>
          <t>Southeast Asia</t>
        </is>
      </c>
      <c r="D179" s="16" t="n">
        <v>58600</v>
      </c>
    </row>
    <row r="180">
      <c r="A180" s="20" t="n">
        <v>45870</v>
      </c>
      <c r="B180" t="inlineStr">
        <is>
          <t>Harbor City Motors</t>
        </is>
      </c>
      <c r="C180" t="inlineStr">
        <is>
          <t>Southeast Asia</t>
        </is>
      </c>
      <c r="D180" s="16" t="n">
        <v>63482</v>
      </c>
    </row>
    <row r="181">
      <c r="A181" s="20" t="n">
        <v>45901</v>
      </c>
      <c r="B181" t="inlineStr">
        <is>
          <t>Harbor City Motors</t>
        </is>
      </c>
      <c r="C181" t="inlineStr">
        <is>
          <t>Southeast Asia</t>
        </is>
      </c>
      <c r="D181" s="16" t="n">
        <v>72740</v>
      </c>
    </row>
    <row r="182">
      <c r="A182" s="20" t="n">
        <v>45931</v>
      </c>
      <c r="B182" t="inlineStr">
        <is>
          <t>Harbor City Motors</t>
        </is>
      </c>
      <c r="C182" t="inlineStr">
        <is>
          <t>Southeast Asia</t>
        </is>
      </c>
      <c r="D182" s="16" t="n">
        <v>55281</v>
      </c>
    </row>
    <row r="183">
      <c r="A183" s="20" t="n">
        <v>45962</v>
      </c>
      <c r="B183" t="inlineStr">
        <is>
          <t>Harbor City Motors</t>
        </is>
      </c>
      <c r="C183" t="inlineStr">
        <is>
          <t>Southeast Asia</t>
        </is>
      </c>
      <c r="D183" s="16" t="n">
        <v>54690</v>
      </c>
    </row>
    <row r="184">
      <c r="A184" s="20" t="n">
        <v>45992</v>
      </c>
      <c r="B184" t="inlineStr">
        <is>
          <t xml:space="preserve"> HARBOR CITY MOTORS</t>
        </is>
      </c>
      <c r="C184" t="inlineStr">
        <is>
          <t>Southeast Asia</t>
        </is>
      </c>
      <c r="D184" s="16" t="n">
        <v>62797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 ht="30" customHeight="1">
      <c r="A1" s="4" t="inlineStr">
        <is>
          <t>Power Query: clean and summarise Raw_Shipments</t>
        </is>
      </c>
      <c r="B1" s="5" t="n"/>
      <c r="C1" s="5" t="n"/>
    </row>
    <row r="2">
      <c r="A2" s="6" t="inlineStr">
        <is>
          <t>Paste the code below into a blank query. Result: one row per company.</t>
        </is>
      </c>
    </row>
    <row r="3">
      <c r="A3" t="inlineStr">
        <is>
          <t>1. Data &gt; Get Data &gt; From Other Sources &gt; Blank Query.</t>
        </is>
      </c>
    </row>
    <row r="4">
      <c r="A4" t="inlineStr">
        <is>
          <t>2. In the Power Query window choose Home &gt; Advanced Editor.</t>
        </is>
      </c>
    </row>
    <row r="5">
      <c r="A5" t="inlineStr">
        <is>
          <t>3. Delete the placeholder text and paste the M code from A9 downward, then Done.</t>
        </is>
      </c>
    </row>
    <row r="6">
      <c r="A6" t="inlineStr">
        <is>
          <t>4. Home &gt; Close &amp; Load To... &gt; Table, on a new sheet.</t>
        </is>
      </c>
    </row>
    <row r="7">
      <c r="A7" t="inlineStr">
        <is>
          <t>5. Compare your result with the PQ_Expected sheet.</t>
        </is>
      </c>
    </row>
    <row r="8">
      <c r="A8" s="15" t="inlineStr">
        <is>
          <t>M code</t>
        </is>
      </c>
    </row>
    <row r="9">
      <c r="A9" s="21" t="inlineStr">
        <is>
          <t>let</t>
        </is>
      </c>
    </row>
    <row r="10">
      <c r="A10" s="21" t="inlineStr">
        <is>
          <t xml:space="preserve">    Source = Excel.CurrentWorkbook(){[Name="tblRawShipments"]}[Content],</t>
        </is>
      </c>
    </row>
    <row r="11">
      <c r="A11" s="21" t="inlineStr">
        <is>
          <t xml:space="preserve">    Typed = Table.TransformColumnTypes(Source, {{"Month", type date}, {"Company", type text}, {"Region", type text}, {"Units", Int64.Type}}),</t>
        </is>
      </c>
    </row>
    <row r="12">
      <c r="A12" s="21" t="inlineStr">
        <is>
          <t xml:space="preserve">    Cleaned = Table.TransformColumns(Typed, {{"Company", each Text.Proper(Text.Trim(_)), type text}}),</t>
        </is>
      </c>
    </row>
    <row r="13">
      <c r="A13" s="21" t="inlineStr">
        <is>
          <t xml:space="preserve">    Valid = Table.SelectRows(Cleaned, each [Units] &lt;&gt; null and [Units] &gt; 0),</t>
        </is>
      </c>
    </row>
    <row r="14">
      <c r="A14" s="21" t="inlineStr">
        <is>
          <t xml:space="preserve">    Grouped = Table.Group(Valid, {"Company"}, {{"Units (12m)", each List.Sum([Units]), Int64.Type}, {"Months reported", each Table.RowCount(_), Int64.Type}}),</t>
        </is>
      </c>
    </row>
    <row r="15">
      <c r="A15" s="21" t="inlineStr">
        <is>
          <t xml:space="preserve">    Sorted = Table.Sort(Grouped, {{"Units (12m)", Order.Descending}})</t>
        </is>
      </c>
    </row>
    <row r="16">
      <c r="A16" s="21" t="inlineStr">
        <is>
          <t>in</t>
        </is>
      </c>
    </row>
    <row r="17">
      <c r="A17" s="21" t="inlineStr">
        <is>
          <t xml:space="preserve">    Sorted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</cols>
  <sheetData>
    <row r="1" ht="30" customHeight="1">
      <c r="A1" s="4" t="inlineStr">
        <is>
          <t>Expected Power Query result (static preview)</t>
        </is>
      </c>
      <c r="B1" s="5" t="n"/>
      <c r="C1" s="5" t="n"/>
    </row>
    <row r="2">
      <c r="A2" s="6" t="inlineStr">
        <is>
          <t>Static values computed independently, for comparing with your loaded query.</t>
        </is>
      </c>
    </row>
    <row r="4">
      <c r="A4" s="7" t="inlineStr">
        <is>
          <t>Company</t>
        </is>
      </c>
      <c r="B4" s="7" t="inlineStr">
        <is>
          <t>Units (12m)</t>
        </is>
      </c>
      <c r="C4" s="7" t="inlineStr">
        <is>
          <t>Months reported</t>
        </is>
      </c>
    </row>
    <row r="5">
      <c r="A5" t="inlineStr">
        <is>
          <t>Solstice EV</t>
        </is>
      </c>
      <c r="B5" s="16" t="n">
        <v>3081591</v>
      </c>
      <c r="C5" t="n">
        <v>12</v>
      </c>
    </row>
    <row r="6">
      <c r="A6" t="inlineStr">
        <is>
          <t>Aurora Motors</t>
        </is>
      </c>
      <c r="B6" s="16" t="n">
        <v>1959659</v>
      </c>
      <c r="C6" t="n">
        <v>10</v>
      </c>
    </row>
    <row r="7">
      <c r="A7" t="inlineStr">
        <is>
          <t>Lotus Blossom Auto</t>
        </is>
      </c>
      <c r="B7" s="16" t="n">
        <v>1736096</v>
      </c>
      <c r="C7" t="n">
        <v>12</v>
      </c>
    </row>
    <row r="8">
      <c r="A8" t="inlineStr">
        <is>
          <t>Vantage Auto</t>
        </is>
      </c>
      <c r="B8" s="16" t="n">
        <v>1733987</v>
      </c>
      <c r="C8" t="n">
        <v>11</v>
      </c>
    </row>
    <row r="9">
      <c r="A9" t="inlineStr">
        <is>
          <t>Kestrel Mobility</t>
        </is>
      </c>
      <c r="B9" s="16" t="n">
        <v>1214847</v>
      </c>
      <c r="C9" t="n">
        <v>12</v>
      </c>
    </row>
    <row r="10">
      <c r="A10" t="inlineStr">
        <is>
          <t>Zenith Two-Wheelers</t>
        </is>
      </c>
      <c r="B10" s="16" t="n">
        <v>1074884</v>
      </c>
      <c r="C10" t="n">
        <v>11</v>
      </c>
    </row>
    <row r="11">
      <c r="A11" t="inlineStr">
        <is>
          <t>Bharat Drive Co</t>
        </is>
      </c>
      <c r="B11" s="16" t="n">
        <v>935918</v>
      </c>
      <c r="C11" t="n">
        <v>11</v>
      </c>
    </row>
    <row r="12">
      <c r="A12" t="inlineStr">
        <is>
          <t>Nordlys Vehicles</t>
        </is>
      </c>
      <c r="B12" s="16" t="n">
        <v>677184</v>
      </c>
      <c r="C12" t="n">
        <v>11</v>
      </c>
    </row>
    <row r="13">
      <c r="A13" t="inlineStr">
        <is>
          <t>Harbor City Motors</t>
        </is>
      </c>
      <c r="B13" s="16" t="n">
        <v>674166</v>
      </c>
      <c r="C13" t="n">
        <v>11</v>
      </c>
    </row>
    <row r="14">
      <c r="A14" t="inlineStr">
        <is>
          <t>Cordillera Motors</t>
        </is>
      </c>
      <c r="B14" s="16" t="n">
        <v>598871</v>
      </c>
      <c r="C14" t="n">
        <v>11</v>
      </c>
    </row>
    <row r="15">
      <c r="A15" t="inlineStr">
        <is>
          <t>Sahara Motors</t>
        </is>
      </c>
      <c r="B15" s="16" t="n">
        <v>436499</v>
      </c>
      <c r="C15" t="n">
        <v>12</v>
      </c>
    </row>
    <row r="16">
      <c r="A16" t="inlineStr">
        <is>
          <t>Atlas Utility Vehicles</t>
        </is>
      </c>
      <c r="B16" s="16" t="n">
        <v>356344</v>
      </c>
      <c r="C16" t="n">
        <v>12</v>
      </c>
    </row>
    <row r="17">
      <c r="A17" t="inlineStr">
        <is>
          <t>Meridian Trucks</t>
        </is>
      </c>
      <c r="B17" s="16" t="n">
        <v>321749</v>
      </c>
      <c r="C17" t="n">
        <v>12</v>
      </c>
    </row>
    <row r="18">
      <c r="A18" t="inlineStr">
        <is>
          <t>Tidewater Trucks</t>
        </is>
      </c>
      <c r="B18" s="16" t="n">
        <v>264350</v>
      </c>
      <c r="C18" t="n">
        <v>12</v>
      </c>
    </row>
    <row r="19">
      <c r="A19" t="inlineStr">
        <is>
          <t>Pinnacle Commercial</t>
        </is>
      </c>
      <c r="B19" s="16" t="n">
        <v>184913</v>
      </c>
      <c r="C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Demo</dc:creator>
  <dc:title xmlns:dc="http://purl.org/dc/elements/1.1/">Licensee screening tracker (dummy data)</dc:title>
  <dcterms:created xmlns:dcterms="http://purl.org/dc/terms/" xmlns:xsi="http://www.w3.org/2001/XMLSchema-instance" xsi:type="dcterms:W3CDTF">2026-09-29T12:09:31Z</dcterms:created>
  <dcterms:modified xmlns:dcterms="http://purl.org/dc/terms/" xmlns:xsi="http://www.w3.org/2001/XMLSchema-instance" xsi:type="dcterms:W3CDTF">2026-09-29T12:09:31Z</dcterms:modified>
</cp:coreProperties>
</file>